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private/tmp/claude-501/-Users-evanliu-agentic-gadget/d6cd0ac5-6636-40af-8bd9-86ca8ebf61e7/scratchpad/"/>
    </mc:Choice>
  </mc:AlternateContent>
  <xr:revisionPtr revIDLastSave="0" documentId="8_{280B0A7C-3309-EB43-B767-69C6CEDC6274}" xr6:coauthVersionLast="47" xr6:coauthVersionMax="47" xr10:uidLastSave="{00000000-0000-0000-0000-000000000000}"/>
  <bookViews>
    <workbookView xWindow="0" yWindow="600" windowWidth="28800" windowHeight="16420" xr2:uid="{00000000-000D-0000-FFFF-FFFF00000000}"/>
  </bookViews>
  <sheets>
    <sheet name="Components" sheetId="1" r:id="rId1"/>
    <sheet name="Manufacturing (30 uni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2" l="1"/>
  <c r="D14" i="2" s="1"/>
  <c r="D13" i="2"/>
  <c r="C12" i="2"/>
  <c r="D12" i="2" s="1"/>
  <c r="C11" i="2"/>
  <c r="D11" i="2" s="1"/>
  <c r="C10" i="2"/>
  <c r="D10" i="2" s="1"/>
  <c r="C9" i="2"/>
  <c r="D9" i="2" s="1"/>
  <c r="D15" i="2" s="1"/>
  <c r="C8" i="2"/>
  <c r="B8" i="2"/>
  <c r="D8" i="2" s="1"/>
  <c r="D7" i="2"/>
  <c r="C6" i="2"/>
  <c r="D6" i="2" s="1"/>
  <c r="B40" i="1"/>
  <c r="B34" i="1"/>
  <c r="D16" i="2" l="1"/>
  <c r="D17" i="2" s="1"/>
  <c r="D18" i="2" s="1"/>
  <c r="E1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budget</author>
  </authors>
  <commentList>
    <comment ref="A3" authorId="0" shapeId="0" xr:uid="{00000000-0006-0000-0000-000001000000}">
      <text>
        <r>
          <rPr>
            <sz val="11"/>
            <color theme="1"/>
            <rFont val="Calibri"/>
            <family val="2"/>
            <scheme val="minor"/>
          </rPr>
          <t>nRF9151 DK (NRF9151-DK)</t>
        </r>
      </text>
    </comment>
    <comment ref="A4" authorId="0" shapeId="0" xr:uid="{00000000-0006-0000-0000-000002000000}">
      <text>
        <r>
          <rPr>
            <sz val="11"/>
            <color theme="1"/>
            <rFont val="Calibri"/>
            <family val="2"/>
            <scheme val="minor"/>
          </rPr>
          <t>nRF54LM20 DK (nRF54LM20A/B, Axon enabled) (NRF54LM20-DK)</t>
        </r>
      </text>
    </comment>
    <comment ref="A5" authorId="0" shapeId="0" xr:uid="{00000000-0006-0000-0000-000003000000}">
      <text>
        <r>
          <rPr>
            <sz val="11"/>
            <color theme="1"/>
            <rFont val="Calibri"/>
            <family val="2"/>
            <scheme val="minor"/>
          </rPr>
          <t>nRF7002 EK (Arduino shield) (NRF7002-EK)</t>
        </r>
      </text>
    </comment>
    <comment ref="A6" authorId="0" shapeId="0" xr:uid="{00000000-0006-0000-0000-000004000000}">
      <text>
        <r>
          <rPr>
            <sz val="11"/>
            <color theme="1"/>
            <rFont val="Calibri"/>
            <family val="2"/>
            <scheme val="minor"/>
          </rPr>
          <t>Adafruit SPI Flash SD Card - XTSD 2 GB (SD NAND breakout) (6038)</t>
        </r>
      </text>
    </comment>
    <comment ref="A7" authorId="0" shapeId="0" xr:uid="{00000000-0006-0000-0000-000005000000}">
      <text>
        <r>
          <rPr>
            <sz val="11"/>
            <color theme="1"/>
            <rFont val="Calibri"/>
            <family val="2"/>
            <scheme val="minor"/>
          </rPr>
          <t>Arducam Mini 2MP (OV2640, SPI + frame buffer) (B0067)</t>
        </r>
      </text>
    </comment>
    <comment ref="A8" authorId="0" shapeId="0" xr:uid="{00000000-0006-0000-0000-000006000000}">
      <text>
        <r>
          <rPr>
            <sz val="11"/>
            <color theme="1"/>
            <rFont val="Calibri"/>
            <family val="2"/>
            <scheme val="minor"/>
          </rPr>
          <t>SparkFun 6DoF IMU BMI270 (Qwiic) (SEN-22397)</t>
        </r>
      </text>
    </comment>
    <comment ref="A9" authorId="0" shapeId="0" xr:uid="{00000000-0006-0000-0000-000007000000}">
      <text>
        <r>
          <rPr>
            <sz val="11"/>
            <color theme="1"/>
            <rFont val="Calibri"/>
            <family val="2"/>
            <scheme val="minor"/>
          </rPr>
          <t>Waveshare UART Fingerprint Sensor (D), round capacitive (UART Fingerprint Sensor (D))</t>
        </r>
      </text>
    </comment>
    <comment ref="A10" authorId="0" shapeId="0" xr:uid="{00000000-0006-0000-0000-000008000000}">
      <text>
        <r>
          <rPr>
            <sz val="11"/>
            <color theme="1"/>
            <rFont val="Calibri"/>
            <family val="2"/>
            <scheme val="minor"/>
          </rPr>
          <t>Adafruit Universal Qi Receiver Module (1901)</t>
        </r>
      </text>
    </comment>
    <comment ref="A11" authorId="0" shapeId="0" xr:uid="{00000000-0006-0000-0000-000009000000}">
      <text>
        <r>
          <rPr>
            <sz val="11"/>
            <color theme="1"/>
            <rFont val="Calibri"/>
            <family val="2"/>
            <scheme val="minor"/>
          </rPr>
          <t>Adafruit Micro-Lipo Charger USB-C (4410)</t>
        </r>
      </text>
    </comment>
    <comment ref="A12" authorId="0" shapeId="0" xr:uid="{00000000-0006-0000-0000-00000A000000}">
      <text>
        <r>
          <rPr>
            <sz val="11"/>
            <color theme="1"/>
            <rFont val="Calibri"/>
            <family val="2"/>
            <scheme val="minor"/>
          </rPr>
          <t>Adafruit MAX17048 fuel gauge (5580)</t>
        </r>
      </text>
    </comment>
    <comment ref="A13" authorId="0" shapeId="0" xr:uid="{00000000-0006-0000-0000-00000B000000}">
      <text>
        <r>
          <rPr>
            <sz val="11"/>
            <color theme="1"/>
            <rFont val="Calibri"/>
            <family val="2"/>
            <scheme val="minor"/>
          </rPr>
          <t>Nordic nPM1304 EK (NPM1304-EK)</t>
        </r>
      </text>
    </comment>
    <comment ref="A14" authorId="0" shapeId="0" xr:uid="{00000000-0006-0000-0000-00000C000000}">
      <text>
        <r>
          <rPr>
            <sz val="11"/>
            <color theme="1"/>
            <rFont val="Calibri"/>
            <family val="2"/>
            <scheme val="minor"/>
          </rPr>
          <t>Adafruit LiPo 3.7 V 350 mAh (protected) (2750)</t>
        </r>
      </text>
    </comment>
    <comment ref="A15" authorId="0" shapeId="0" xr:uid="{00000000-0006-0000-0000-00000D000000}">
      <text>
        <r>
          <rPr>
            <sz val="11"/>
            <color theme="1"/>
            <rFont val="Calibri"/>
            <family val="2"/>
            <scheme val="minor"/>
          </rPr>
          <t>Adafruit DRV2605L haptic driver (2305)</t>
        </r>
      </text>
    </comment>
    <comment ref="A16" authorId="0" shapeId="0" xr:uid="{00000000-0006-0000-0000-00000E000000}">
      <text>
        <r>
          <rPr>
            <sz val="11"/>
            <color theme="1"/>
            <rFont val="Calibri"/>
            <family val="2"/>
            <scheme val="minor"/>
          </rPr>
          <t>Adafruit piezo buzzer PS1240 (160)</t>
        </r>
      </text>
    </comment>
    <comment ref="A17" authorId="0" shapeId="0" xr:uid="{00000000-0006-0000-0000-00000F000000}">
      <text>
        <r>
          <rPr>
            <sz val="11"/>
            <color theme="1"/>
            <rFont val="Calibri"/>
            <family val="2"/>
            <scheme val="minor"/>
          </rPr>
          <t>Adafruit PDM MEMS mic breakout (3492)</t>
        </r>
      </text>
    </comment>
    <comment ref="A18" authorId="0" shapeId="0" xr:uid="{00000000-0006-0000-0000-000010000000}">
      <text>
        <r>
          <rPr>
            <sz val="11"/>
            <color theme="1"/>
            <rFont val="Calibri"/>
            <family val="2"/>
            <scheme val="minor"/>
          </rPr>
          <t>Adafruit MAX98357A I2S amp (3006)</t>
        </r>
      </text>
    </comment>
    <comment ref="A19" authorId="0" shapeId="0" xr:uid="{00000000-0006-0000-0000-000011000000}">
      <text>
        <r>
          <rPr>
            <sz val="11"/>
            <color theme="1"/>
            <rFont val="Calibri"/>
            <family val="2"/>
            <scheme val="minor"/>
          </rPr>
          <t>Adafruit mini oval speaker 8 ohm 1 W (3923)</t>
        </r>
      </text>
    </comment>
    <comment ref="A20" authorId="0" shapeId="0" xr:uid="{00000000-0006-0000-0000-000012000000}">
      <text>
        <r>
          <rPr>
            <sz val="11"/>
            <color theme="1"/>
            <rFont val="Calibri"/>
            <family val="2"/>
            <scheme val="minor"/>
          </rPr>
          <t>Waveshare 2.9in e-Paper module (296x128) (E029A01-FPCA)</t>
        </r>
      </text>
    </comment>
    <comment ref="A21" authorId="0" shapeId="0" xr:uid="{00000000-0006-0000-0000-000013000000}">
      <text>
        <r>
          <rPr>
            <sz val="11"/>
            <color theme="1"/>
            <rFont val="Calibri"/>
            <family val="2"/>
            <scheme val="minor"/>
          </rPr>
          <t>Adafruit AT42QT1070 5-pad standalone (1362)</t>
        </r>
      </text>
    </comment>
    <comment ref="A22" authorId="0" shapeId="0" xr:uid="{00000000-0006-0000-0000-000014000000}">
      <text>
        <r>
          <rPr>
            <sz val="11"/>
            <color theme="1"/>
            <rFont val="Calibri"/>
            <family val="2"/>
            <scheme val="minor"/>
          </rPr>
          <t>Waveshare 2.9in capacitive-touch e-Paper (Pico) (Pico-CapTouch-ePaper-2.9)</t>
        </r>
      </text>
    </comment>
    <comment ref="A23" authorId="0" shapeId="0" xr:uid="{00000000-0006-0000-0000-000015000000}">
      <text>
        <r>
          <rPr>
            <sz val="11"/>
            <color theme="1"/>
            <rFont val="Calibri"/>
            <family val="2"/>
            <scheme val="minor"/>
          </rPr>
          <t>3D-printed pendant shells (JLC3DP SLA/MJF or UW DI Lab SLS), 3 iterations x 5</t>
        </r>
      </text>
    </comment>
    <comment ref="A24" authorId="0" shapeId="0" xr:uid="{00000000-0006-0000-0000-000016000000}">
      <text>
        <r>
          <rPr>
            <sz val="11"/>
            <color theme="1"/>
            <rFont val="Calibri"/>
            <family val="2"/>
            <scheme val="minor"/>
          </rPr>
          <t>CNC aluminum shell samples (JLCCNC/PCBWay/Xometry), 3 pcs</t>
        </r>
      </text>
    </comment>
    <comment ref="A25" authorId="0" shapeId="0" xr:uid="{00000000-0006-0000-0000-000017000000}">
      <text>
        <r>
          <rPr>
            <sz val="11"/>
            <color theme="1"/>
            <rFont val="Calibri"/>
            <family val="2"/>
            <scheme val="minor"/>
          </rPr>
          <t>Watch-band / strap samples</t>
        </r>
      </text>
    </comment>
    <comment ref="A26" authorId="0" shapeId="0" xr:uid="{00000000-0006-0000-0000-000018000000}">
      <text>
        <r>
          <rPr>
            <sz val="11"/>
            <color theme="1"/>
            <rFont val="Calibri"/>
            <family val="2"/>
            <scheme val="minor"/>
          </rPr>
          <t>Necklace cord (30-pk) + breakaway clasps (50-pk) samples</t>
        </r>
      </text>
    </comment>
    <comment ref="A28" authorId="0" shapeId="0" xr:uid="{00000000-0006-0000-0000-000019000000}">
      <text>
        <r>
          <rPr>
            <sz val="11"/>
            <color theme="1"/>
            <rFont val="Calibri"/>
            <family val="2"/>
            <scheme val="minor"/>
          </rPr>
          <t>Breadboards, full-size 830 tie-point</t>
        </r>
      </text>
    </comment>
    <comment ref="A29" authorId="0" shapeId="0" xr:uid="{00000000-0006-0000-0000-00001A000000}">
      <text>
        <r>
          <rPr>
            <sz val="11"/>
            <color theme="1"/>
            <rFont val="Calibri"/>
            <family val="2"/>
            <scheme val="minor"/>
          </rPr>
          <t>Jumper wires, premium M/M 40x150mm</t>
        </r>
      </text>
    </comment>
    <comment ref="A30" authorId="0" shapeId="0" xr:uid="{00000000-0006-0000-0000-00001B000000}">
      <text>
        <r>
          <rPr>
            <sz val="11"/>
            <color theme="1"/>
            <rFont val="Calibri"/>
            <family val="2"/>
            <scheme val="minor"/>
          </rPr>
          <t>Per month: Claude Max 5x $100 + 2x Claude Pro $20 + Cursor Pro $20 + ChatGPT Plus $20 = $180. Units = months.</t>
        </r>
      </text>
    </comment>
    <comment ref="A31" authorId="0" shapeId="0" xr:uid="{00000000-0006-0000-0000-00001C000000}">
      <text>
        <r>
          <rPr>
            <sz val="11"/>
            <color theme="1"/>
            <rFont val="Calibri"/>
            <family val="2"/>
            <scheme val="minor"/>
          </rPr>
          <t>KiCad (PCB design)</t>
        </r>
      </text>
    </comment>
    <comment ref="A32" authorId="0" shapeId="0" xr:uid="{00000000-0006-0000-0000-00001D000000}">
      <text>
        <r>
          <rPr>
            <sz val="11"/>
            <color theme="1"/>
            <rFont val="Calibri"/>
            <family val="2"/>
            <scheme val="minor"/>
          </rPr>
          <t>Onshape Education</t>
        </r>
      </text>
    </comment>
    <comment ref="A33" authorId="0" shapeId="0" xr:uid="{00000000-0006-0000-0000-00001E000000}">
      <text>
        <r>
          <rPr>
            <sz val="11"/>
            <color theme="1"/>
            <rFont val="Calibri"/>
            <family val="2"/>
            <scheme val="minor"/>
          </rPr>
          <t>OpenAI gpt-realtime-2.1-mini test audio (5,000 min)</t>
        </r>
      </text>
    </comment>
    <comment ref="A34" authorId="0" shapeId="0" xr:uid="{00000000-0006-0000-0000-00001F000000}">
      <text>
        <r>
          <rPr>
            <sz val="11"/>
            <color theme="1"/>
            <rFont val="Calibri"/>
            <family val="2"/>
            <scheme val="minor"/>
          </rPr>
          <t>Per spin (JLCPCB 4-layer): fab + assembly fees + stencil + shipping/tariff + 3 populated boards at the per-device component cost. Units = spins.</t>
        </r>
      </text>
    </comment>
    <comment ref="A36" authorId="0" shapeId="0" xr:uid="{00000000-0006-0000-0000-000020000000}">
      <text>
        <r>
          <rPr>
            <sz val="11"/>
            <color theme="1"/>
            <rFont val="Calibri"/>
            <family val="2"/>
            <scheme val="minor"/>
          </rPr>
          <t>Pinecil V2 soldering iron</t>
        </r>
      </text>
    </comment>
    <comment ref="A37" authorId="0" shapeId="0" xr:uid="{00000000-0006-0000-0000-000021000000}">
      <text>
        <r>
          <rPr>
            <sz val="11"/>
            <color theme="1"/>
            <rFont val="Calibri"/>
            <family val="2"/>
            <scheme val="minor"/>
          </rPr>
          <t>Stereo/digital soldering microscope (Andonstar AD407 class)</t>
        </r>
      </text>
    </comment>
    <comment ref="A38" authorId="0" shapeId="0" xr:uid="{00000000-0006-0000-0000-000022000000}">
      <text>
        <r>
          <rPr>
            <sz val="11"/>
            <color theme="1"/>
            <rFont val="Calibri"/>
            <family val="2"/>
            <scheme val="minor"/>
          </rPr>
          <t>Helping hands with 4x magnifier / PCB holder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budget</author>
  </authors>
  <commentList>
    <comment ref="A8" authorId="0" shapeId="0" xr:uid="{00000000-0006-0000-0100-000001000000}">
      <text>
        <r>
          <rPr>
            <sz val="11"/>
            <color theme="1"/>
            <rFont val="Calibri"/>
            <family val="2"/>
            <scheme val="minor"/>
          </rPr>
          <t>Qty-100 price x per-device qty (falls back to Actual, then Estimate):
nRF7002 Wi-Fi 6 companion IC 3.5 x1
Bosch BMI270 3.17 x1
Nordic nPM1304 PMIC 1.81 x1
Jauch LP402535 370 mAh with PCM 6.58 x1
TI DRV2605L 1.38 x1
Vybronics 10 mm LRA 5.64 x1
Knowles SPH0641LU4H-1 PDM mic 3.22 x2
ADI MAX98357A 2.56 x1
PUI AS01308MR-2-R 13 mm 8 ohm 4.46 x1
Microchip AT42QT1070 1.21 x1
Ignion NN02-224 multiband LTE chip 1.64 x1
Johanson GNSS chip antenna 0.699 x1
1NCE IoT SIM chip 2.5 x1
TI TPS22916C load switch 0.3 x3
CS SD NAND 1 Gbit 5.81 x1
nRF54LM20B BLE 6.0 SoC + Axon NPU 4.49 x1
nRF9151 LTE-M/NB-IoT/GNSS SiP 17.92 x1
Passives/crystals/BLE antenna allowance: 9</t>
        </r>
      </text>
    </comment>
    <comment ref="A14" authorId="0" shapeId="0" xr:uid="{00000000-0006-0000-0100-000002000000}">
      <text>
        <r>
          <rPr>
            <sz val="11"/>
            <color theme="1"/>
            <rFont val="Calibri"/>
            <family val="2"/>
            <scheme val="minor"/>
          </rPr>
          <t>Not in the requested row list but real costs from manufacturing.json: SIM $1 x 36, $14 flat plan x 30, magnet $1.50 x 36, test fixture $100.</t>
        </r>
      </text>
    </comment>
  </commentList>
</comments>
</file>

<file path=xl/sharedStrings.xml><?xml version="1.0" encoding="utf-8"?>
<sst xmlns="http://schemas.openxmlformats.org/spreadsheetml/2006/main" count="108" uniqueCount="89">
  <si>
    <t>Name</t>
  </si>
  <si>
    <t>Estimate Cost</t>
  </si>
  <si>
    <t>Estimated Units for Testing</t>
  </si>
  <si>
    <t>Product Link</t>
  </si>
  <si>
    <t>Actual Product Price</t>
  </si>
  <si>
    <t>Components</t>
  </si>
  <si>
    <t>Processing chip (cellular)</t>
  </si>
  <si>
    <t>digikey.com</t>
  </si>
  <si>
    <t>Bluetooth chip</t>
  </si>
  <si>
    <t>Wi-Fi chip</t>
  </si>
  <si>
    <t>Flash storage</t>
  </si>
  <si>
    <t>adafruit.com</t>
  </si>
  <si>
    <t>Camera</t>
  </si>
  <si>
    <t>uctronics.com</t>
  </si>
  <si>
    <t>IMU</t>
  </si>
  <si>
    <t>sparkfun.com</t>
  </si>
  <si>
    <t>Fingerprint sensor</t>
  </si>
  <si>
    <t>waveshare.com</t>
  </si>
  <si>
    <t>Wireless charging (MagSafe-compatible Qi)</t>
  </si>
  <si>
    <t>USB-C charging</t>
  </si>
  <si>
    <t>Battery charge monitoring (fuel gauge)</t>
  </si>
  <si>
    <t>Battery management (charger/protection)</t>
  </si>
  <si>
    <t>Battery</t>
  </si>
  <si>
    <t>Haptic driver</t>
  </si>
  <si>
    <t>Buzzer</t>
  </si>
  <si>
    <t>Microphone</t>
  </si>
  <si>
    <t>Amplifier</t>
  </si>
  <si>
    <t>Speaker</t>
  </si>
  <si>
    <t>E-ink display</t>
  </si>
  <si>
    <t>Touch sensor</t>
  </si>
  <si>
    <t>Stylus</t>
  </si>
  <si>
    <t>3D printing</t>
  </si>
  <si>
    <t>jlc3dp.com</t>
  </si>
  <si>
    <t>Metal casting / CNC</t>
  </si>
  <si>
    <t>jlccnc.com</t>
  </si>
  <si>
    <t>Watch band</t>
  </si>
  <si>
    <t>Necklace</t>
  </si>
  <si>
    <t>amazon.com</t>
  </si>
  <si>
    <t>Testing</t>
  </si>
  <si>
    <t>Breadboard</t>
  </si>
  <si>
    <t>Jumper wires</t>
  </si>
  <si>
    <t>Agentic coding subscriptions</t>
  </si>
  <si>
    <t>claude.com</t>
  </si>
  <si>
    <t>PCB design software</t>
  </si>
  <si>
    <t>kicad.org</t>
  </si>
  <si>
    <t>3D CAD software</t>
  </si>
  <si>
    <t>onshape.com</t>
  </si>
  <si>
    <t>Voice tokens</t>
  </si>
  <si>
    <t>openai.com</t>
  </si>
  <si>
    <t>Prototype PCBs</t>
  </si>
  <si>
    <t>jlcpcb.com</t>
  </si>
  <si>
    <t>Tools</t>
  </si>
  <si>
    <t>Soldering station</t>
  </si>
  <si>
    <t>pine64.com</t>
  </si>
  <si>
    <t>Magnifier</t>
  </si>
  <si>
    <t>andonstar.com</t>
  </si>
  <si>
    <t>Clamp</t>
  </si>
  <si>
    <t>Total (Actual where verified, else Estimate)</t>
  </si>
  <si>
    <t>Item</t>
  </si>
  <si>
    <t>Unit Cost</t>
  </si>
  <si>
    <t>Quantity</t>
  </si>
  <si>
    <t>Total</t>
  </si>
  <si>
    <t>Notes</t>
  </si>
  <si>
    <t>Board starts</t>
  </si>
  <si>
    <t>30 accepted + 6 spare for yield</t>
  </si>
  <si>
    <t>Accepted devices</t>
  </si>
  <si>
    <t>Target cost per device</t>
  </si>
  <si>
    <t>PCB manufacturing (4-layer, JLCPCB)</t>
  </si>
  <si>
    <t>Derived, not quoted</t>
  </si>
  <si>
    <t>Component placement + soldering (PCBA)</t>
  </si>
  <si>
    <t>Setup, stencil, feeders, X-ray; not quoted</t>
  </si>
  <si>
    <t>Components per device</t>
  </si>
  <si>
    <t>Core bare chips at qty-100 + $9 passives allowance</t>
  </si>
  <si>
    <t>Enclosure (MJF nylon 2-part shell)</t>
  </si>
  <si>
    <t>CNC aluminum would break the target</t>
  </si>
  <si>
    <t>Band / necklace</t>
  </si>
  <si>
    <t>Cord with breakaway clasp</t>
  </si>
  <si>
    <t>Charging cable (magnetic pogo)</t>
  </si>
  <si>
    <t>$4.46 at 10+ (Adafruit)</t>
  </si>
  <si>
    <t>Packaging</t>
  </si>
  <si>
    <t>Box, foam, card</t>
  </si>
  <si>
    <t>Shipping / tariffs</t>
  </si>
  <si>
    <t>JLCPCB DHL + US DDP tariff, DigiKey freight</t>
  </si>
  <si>
    <t>SIM + data plan, magnet, test fixture</t>
  </si>
  <si>
    <t>1NCE $1 SIM x starts + $14 plan x accepted; magnet; pogo jig</t>
  </si>
  <si>
    <t>Subtotal</t>
  </si>
  <si>
    <t>Contingency</t>
  </si>
  <si>
    <t>Of subtotal</t>
  </si>
  <si>
    <t>Cost per device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</si>
</sst>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quot;-&quot;"/>
  </numFmts>
  <fonts count="7" x14ac:knownFonts="1">
    <font>
      <sz val="11"/>
      <color theme="1"/>
      <name val="Calibri"/>
      <family val="2"/>
      <scheme val="minor"/>
    </font>
    <font>
      <b/>
      <sz val="10"/>
      <color rgb="FFFFFFFF"/>
      <name val="Arial"/>
      <family val="2"/>
    </font>
    <font>
      <b/>
      <sz val="10"/>
      <name val="Arial"/>
      <family val="2"/>
    </font>
    <font>
      <sz val="10"/>
      <name val="Arial"/>
      <family val="2"/>
    </font>
    <font>
      <sz val="10"/>
      <color rgb="FF0000FF"/>
      <name val="Arial"/>
      <family val="2"/>
    </font>
    <font>
      <u/>
      <sz val="10"/>
      <color rgb="FF1F4E5A"/>
      <name val="Arial"/>
      <family val="2"/>
    </font>
    <font>
      <sz val="10"/>
      <color rgb="FF595959"/>
      <name val="Arial"/>
      <family val="2"/>
    </font>
  </fonts>
  <fills count="4">
    <fill>
      <patternFill patternType="none"/>
    </fill>
    <fill>
      <patternFill patternType="gray125"/>
    </fill>
    <fill>
      <patternFill patternType="solid">
        <fgColor rgb="FF1F4E5A"/>
      </patternFill>
    </fill>
    <fill>
      <patternFill patternType="solid">
        <fgColor rgb="FFE8F0F2"/>
      </patternFill>
    </fill>
  </fills>
  <borders count="3">
    <border>
      <left/>
      <right/>
      <top/>
      <bottom/>
      <diagonal/>
    </border>
    <border>
      <left/>
      <right/>
      <top style="medium">
        <color rgb="FF1F4E5A"/>
      </top>
      <bottom/>
      <diagonal/>
    </border>
    <border>
      <left/>
      <right/>
      <top/>
      <bottom/>
      <diagonal/>
    </border>
  </borders>
  <cellStyleXfs count="1">
    <xf numFmtId="0" fontId="0" fillId="0" borderId="0"/>
  </cellStyleXfs>
  <cellXfs count="27">
    <xf numFmtId="0" fontId="0" fillId="0" borderId="0" xfId="0"/>
    <xf numFmtId="0" fontId="1" fillId="2" borderId="0" xfId="0" applyFont="1" applyFill="1" applyAlignment="1">
      <alignment horizontal="left" vertical="center" wrapText="1"/>
    </xf>
    <xf numFmtId="0" fontId="1" fillId="2" borderId="0" xfId="0" applyFont="1" applyFill="1" applyAlignment="1">
      <alignment horizontal="center" vertical="center" wrapText="1"/>
    </xf>
    <xf numFmtId="0" fontId="2" fillId="3" borderId="0" xfId="0" applyFont="1" applyFill="1"/>
    <xf numFmtId="0" fontId="0" fillId="3" borderId="0" xfId="0" applyFill="1"/>
    <xf numFmtId="0" fontId="3" fillId="0" borderId="0" xfId="0" applyFont="1"/>
    <xf numFmtId="164" fontId="4" fillId="0" borderId="0" xfId="0" applyNumberFormat="1" applyFont="1"/>
    <xf numFmtId="3" fontId="4" fillId="0" borderId="0" xfId="0" applyNumberFormat="1" applyFont="1" applyAlignment="1">
      <alignment horizontal="center"/>
    </xf>
    <xf numFmtId="0" fontId="5" fillId="0" borderId="0" xfId="0" applyFont="1" applyAlignment="1">
      <alignment horizontal="left" vertical="center"/>
    </xf>
    <xf numFmtId="0" fontId="0" fillId="0" borderId="0" xfId="0" applyAlignment="1">
      <alignment horizontal="left" vertical="center"/>
    </xf>
    <xf numFmtId="164" fontId="3" fillId="0" borderId="0" xfId="0" applyNumberFormat="1" applyFont="1"/>
    <xf numFmtId="0" fontId="2" fillId="0" borderId="1" xfId="0" applyFont="1" applyBorder="1"/>
    <xf numFmtId="164" fontId="2" fillId="0" borderId="1" xfId="0" applyNumberFormat="1" applyFont="1" applyBorder="1"/>
    <xf numFmtId="0" fontId="0" fillId="0" borderId="1" xfId="0" applyBorder="1"/>
    <xf numFmtId="0" fontId="1" fillId="2" borderId="0" xfId="0" applyFont="1" applyFill="1" applyAlignment="1">
      <alignment horizontal="left" vertical="center"/>
    </xf>
    <xf numFmtId="0" fontId="1" fillId="2" borderId="0" xfId="0" applyFont="1" applyFill="1" applyAlignment="1">
      <alignment horizontal="center" vertical="center"/>
    </xf>
    <xf numFmtId="1" fontId="4" fillId="0" borderId="0" xfId="0" applyNumberFormat="1" applyFont="1" applyAlignment="1">
      <alignment horizontal="center"/>
    </xf>
    <xf numFmtId="0" fontId="6" fillId="0" borderId="0" xfId="0" applyFont="1" applyAlignment="1">
      <alignment vertical="top" wrapText="1"/>
    </xf>
    <xf numFmtId="1" fontId="3" fillId="0" borderId="0" xfId="0" applyNumberFormat="1" applyFont="1" applyAlignment="1">
      <alignment horizontal="center"/>
    </xf>
    <xf numFmtId="0" fontId="3" fillId="0" borderId="2" xfId="0" applyFont="1" applyBorder="1"/>
    <xf numFmtId="0" fontId="0" fillId="0" borderId="2" xfId="0" applyBorder="1"/>
    <xf numFmtId="164" fontId="3" fillId="0" borderId="2" xfId="0" applyNumberFormat="1" applyFont="1" applyBorder="1"/>
    <xf numFmtId="9" fontId="4" fillId="0" borderId="0" xfId="0" applyNumberFormat="1" applyFont="1"/>
    <xf numFmtId="0" fontId="6" fillId="0" borderId="0" xfId="0" applyFont="1"/>
    <xf numFmtId="0" fontId="2" fillId="0" borderId="2" xfId="0" applyFont="1" applyBorder="1"/>
    <xf numFmtId="164" fontId="2" fillId="0" borderId="2" xfId="0" applyNumberFormat="1" applyFont="1" applyBorder="1"/>
    <xf numFmtId="0" fontId="2" fillId="3" borderId="2"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adafruit.com/product/2305" TargetMode="External"/><Relationship Id="rId18" Type="http://schemas.openxmlformats.org/officeDocument/2006/relationships/hyperlink" Target="https://www.waveshare.com/2.9inch-e-paper-module.htm" TargetMode="External"/><Relationship Id="rId26" Type="http://schemas.openxmlformats.org/officeDocument/2006/relationships/hyperlink" Target="https://claude.com/pricing" TargetMode="External"/><Relationship Id="rId3" Type="http://schemas.openxmlformats.org/officeDocument/2006/relationships/hyperlink" Target="https://www.digikey.com/en/products/result?keywords=NRF7002-EK" TargetMode="External"/><Relationship Id="rId21" Type="http://schemas.openxmlformats.org/officeDocument/2006/relationships/hyperlink" Target="https://jlc3dp.com/" TargetMode="External"/><Relationship Id="rId34" Type="http://schemas.openxmlformats.org/officeDocument/2006/relationships/vmlDrawing" Target="../drawings/vmlDrawing1.vml"/><Relationship Id="rId7" Type="http://schemas.openxmlformats.org/officeDocument/2006/relationships/hyperlink" Target="https://www.waveshare.com/uart-fingerprint-sensor-d.htm" TargetMode="External"/><Relationship Id="rId12" Type="http://schemas.openxmlformats.org/officeDocument/2006/relationships/hyperlink" Target="https://www.adafruit.com/product/2750" TargetMode="External"/><Relationship Id="rId17" Type="http://schemas.openxmlformats.org/officeDocument/2006/relationships/hyperlink" Target="https://www.adafruit.com/product/3923" TargetMode="External"/><Relationship Id="rId25" Type="http://schemas.openxmlformats.org/officeDocument/2006/relationships/hyperlink" Target="https://www.adafruit.com/product/758" TargetMode="External"/><Relationship Id="rId33" Type="http://schemas.openxmlformats.org/officeDocument/2006/relationships/hyperlink" Target="https://www.adafruit.com/product/291" TargetMode="External"/><Relationship Id="rId2" Type="http://schemas.openxmlformats.org/officeDocument/2006/relationships/hyperlink" Target="https://www.digikey.com/en/products/detail/nordic-semiconductor-asa/NRF54LM20-DK/27685498" TargetMode="External"/><Relationship Id="rId16" Type="http://schemas.openxmlformats.org/officeDocument/2006/relationships/hyperlink" Target="https://www.adafruit.com/product/3006" TargetMode="External"/><Relationship Id="rId20" Type="http://schemas.openxmlformats.org/officeDocument/2006/relationships/hyperlink" Target="https://www.waveshare.com/pico-captouch-epaper-2.9.htm" TargetMode="External"/><Relationship Id="rId29" Type="http://schemas.openxmlformats.org/officeDocument/2006/relationships/hyperlink" Target="https://openai.com/api/pricing/" TargetMode="External"/><Relationship Id="rId1" Type="http://schemas.openxmlformats.org/officeDocument/2006/relationships/hyperlink" Target="https://www.digikey.com/en/products/detail/nordic-semiconductor-asa/NRF9151-DK/24420446" TargetMode="External"/><Relationship Id="rId6" Type="http://schemas.openxmlformats.org/officeDocument/2006/relationships/hyperlink" Target="https://www.sparkfun.com/sparkfun-6dof-imu-breakout-bmi270-qwiic.html" TargetMode="External"/><Relationship Id="rId11" Type="http://schemas.openxmlformats.org/officeDocument/2006/relationships/hyperlink" Target="https://www.digikey.com/en/products/result?keywords=NPM1304-EK" TargetMode="External"/><Relationship Id="rId24" Type="http://schemas.openxmlformats.org/officeDocument/2006/relationships/hyperlink" Target="https://www.adafruit.com/product/239" TargetMode="External"/><Relationship Id="rId32" Type="http://schemas.openxmlformats.org/officeDocument/2006/relationships/hyperlink" Target="https://andonstar.com/product/ad407-pro-3d-hdmi-soldering-digital-microscope/" TargetMode="External"/><Relationship Id="rId5" Type="http://schemas.openxmlformats.org/officeDocument/2006/relationships/hyperlink" Target="https://www.uctronics.com/amp/camera-modules/stm32-camera-modules/arducam-mini-module-camera-shield-w-2-mp-ov2640-for-arduino-uno-mega2560-board.html" TargetMode="External"/><Relationship Id="rId15" Type="http://schemas.openxmlformats.org/officeDocument/2006/relationships/hyperlink" Target="https://www.adafruit.com/product/3492" TargetMode="External"/><Relationship Id="rId23" Type="http://schemas.openxmlformats.org/officeDocument/2006/relationships/hyperlink" Target="https://www.amazon.com/clp/B0CDGDG135" TargetMode="External"/><Relationship Id="rId28" Type="http://schemas.openxmlformats.org/officeDocument/2006/relationships/hyperlink" Target="https://www.onshape.com/en/education" TargetMode="External"/><Relationship Id="rId10" Type="http://schemas.openxmlformats.org/officeDocument/2006/relationships/hyperlink" Target="https://www.adafruit.com/product/5580" TargetMode="External"/><Relationship Id="rId19" Type="http://schemas.openxmlformats.org/officeDocument/2006/relationships/hyperlink" Target="https://www.adafruit.com/product/1362" TargetMode="External"/><Relationship Id="rId31" Type="http://schemas.openxmlformats.org/officeDocument/2006/relationships/hyperlink" Target="https://www.pine64.com/product/pinecil-smart-mini-portable-soldering-iron/" TargetMode="External"/><Relationship Id="rId4" Type="http://schemas.openxmlformats.org/officeDocument/2006/relationships/hyperlink" Target="https://www.adafruit.com/product/6038" TargetMode="External"/><Relationship Id="rId9" Type="http://schemas.openxmlformats.org/officeDocument/2006/relationships/hyperlink" Target="https://www.adafruit.com/product/4410" TargetMode="External"/><Relationship Id="rId14" Type="http://schemas.openxmlformats.org/officeDocument/2006/relationships/hyperlink" Target="https://www.adafruit.com/product/160" TargetMode="External"/><Relationship Id="rId22" Type="http://schemas.openxmlformats.org/officeDocument/2006/relationships/hyperlink" Target="https://jlccnc.com/" TargetMode="External"/><Relationship Id="rId27" Type="http://schemas.openxmlformats.org/officeDocument/2006/relationships/hyperlink" Target="https://www.kicad.org/" TargetMode="External"/><Relationship Id="rId30" Type="http://schemas.openxmlformats.org/officeDocument/2006/relationships/hyperlink" Target="https://jlcpcb.com/news/discount-on-quality-4-layer-pcbs" TargetMode="External"/><Relationship Id="rId35" Type="http://schemas.openxmlformats.org/officeDocument/2006/relationships/comments" Target="../comments1.xml"/><Relationship Id="rId8" Type="http://schemas.openxmlformats.org/officeDocument/2006/relationships/hyperlink" Target="https://www.adafruit.com/product/190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jlc3dp.com/" TargetMode="External"/><Relationship Id="rId7" Type="http://schemas.openxmlformats.org/officeDocument/2006/relationships/comments" Target="../comments2.xml"/><Relationship Id="rId2" Type="http://schemas.openxmlformats.org/officeDocument/2006/relationships/hyperlink" Target="https://jlcpcb.com/help/article/pcb-assembly-price" TargetMode="External"/><Relationship Id="rId1" Type="http://schemas.openxmlformats.org/officeDocument/2006/relationships/hyperlink" Target="https://jlcpcb.com/news/discount-on-quality-4-layer-pcbs" TargetMode="External"/><Relationship Id="rId6" Type="http://schemas.openxmlformats.org/officeDocument/2006/relationships/vmlDrawing" Target="../drawings/vmlDrawing2.vml"/><Relationship Id="rId5" Type="http://schemas.openxmlformats.org/officeDocument/2006/relationships/hyperlink" Target="https://jlcpcb.com/help/article/us-tariff-policy-faq" TargetMode="External"/><Relationship Id="rId4" Type="http://schemas.openxmlformats.org/officeDocument/2006/relationships/hyperlink" Target="https://www.adafruit.com/product/541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40"/>
  <sheetViews>
    <sheetView showGridLines="0" tabSelected="1"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2" customWidth="1"/>
    <col min="2" max="3" width="14" customWidth="1"/>
    <col min="4" max="4" width="26" customWidth="1"/>
    <col min="5" max="5" width="16" customWidth="1"/>
  </cols>
  <sheetData>
    <row r="1" spans="1:5" ht="34" customHeight="1" x14ac:dyDescent="0.2">
      <c r="A1" s="1" t="s">
        <v>0</v>
      </c>
      <c r="B1" s="2" t="s">
        <v>1</v>
      </c>
      <c r="C1" s="2" t="s">
        <v>2</v>
      </c>
      <c r="D1" s="2" t="s">
        <v>3</v>
      </c>
      <c r="E1" s="2" t="s">
        <v>4</v>
      </c>
    </row>
    <row r="2" spans="1:5" x14ac:dyDescent="0.2">
      <c r="A2" s="3" t="s">
        <v>5</v>
      </c>
      <c r="B2" s="4"/>
      <c r="C2" s="4"/>
      <c r="D2" s="4"/>
      <c r="E2" s="4"/>
    </row>
    <row r="3" spans="1:5" x14ac:dyDescent="0.2">
      <c r="A3" s="5" t="s">
        <v>6</v>
      </c>
      <c r="B3" s="6">
        <v>102.43</v>
      </c>
      <c r="C3" s="7">
        <v>1</v>
      </c>
      <c r="D3" s="8" t="s">
        <v>7</v>
      </c>
      <c r="E3" s="6">
        <v>102.43</v>
      </c>
    </row>
    <row r="4" spans="1:5" x14ac:dyDescent="0.2">
      <c r="A4" s="5" t="s">
        <v>8</v>
      </c>
      <c r="B4" s="6">
        <v>45</v>
      </c>
      <c r="C4" s="7">
        <v>3</v>
      </c>
      <c r="D4" s="8" t="s">
        <v>7</v>
      </c>
      <c r="E4" s="6">
        <v>45</v>
      </c>
    </row>
    <row r="5" spans="1:5" x14ac:dyDescent="0.2">
      <c r="A5" s="5" t="s">
        <v>9</v>
      </c>
      <c r="B5" s="6">
        <v>20</v>
      </c>
      <c r="C5" s="7">
        <v>2</v>
      </c>
      <c r="D5" s="8" t="s">
        <v>7</v>
      </c>
      <c r="E5" s="6">
        <v>20.329999999999998</v>
      </c>
    </row>
    <row r="6" spans="1:5" x14ac:dyDescent="0.2">
      <c r="A6" s="5" t="s">
        <v>10</v>
      </c>
      <c r="B6" s="6">
        <v>11</v>
      </c>
      <c r="C6" s="7">
        <v>3</v>
      </c>
      <c r="D6" s="8" t="s">
        <v>11</v>
      </c>
      <c r="E6" s="6"/>
    </row>
    <row r="7" spans="1:5" x14ac:dyDescent="0.2">
      <c r="A7" s="5" t="s">
        <v>12</v>
      </c>
      <c r="B7" s="6">
        <v>26</v>
      </c>
      <c r="C7" s="7">
        <v>2</v>
      </c>
      <c r="D7" s="8" t="s">
        <v>13</v>
      </c>
      <c r="E7" s="6">
        <v>25.99</v>
      </c>
    </row>
    <row r="8" spans="1:5" x14ac:dyDescent="0.2">
      <c r="A8" s="5" t="s">
        <v>14</v>
      </c>
      <c r="B8" s="6">
        <v>18.5</v>
      </c>
      <c r="C8" s="7">
        <v>3</v>
      </c>
      <c r="D8" s="8" t="s">
        <v>15</v>
      </c>
      <c r="E8" s="6">
        <v>18.5</v>
      </c>
    </row>
    <row r="9" spans="1:5" x14ac:dyDescent="0.2">
      <c r="A9" s="5" t="s">
        <v>16</v>
      </c>
      <c r="B9" s="6">
        <v>17</v>
      </c>
      <c r="C9" s="7">
        <v>2</v>
      </c>
      <c r="D9" s="8" t="s">
        <v>17</v>
      </c>
      <c r="E9" s="6">
        <v>16.989999999999998</v>
      </c>
    </row>
    <row r="10" spans="1:5" x14ac:dyDescent="0.2">
      <c r="A10" s="5" t="s">
        <v>18</v>
      </c>
      <c r="B10" s="6">
        <v>15</v>
      </c>
      <c r="C10" s="7">
        <v>2</v>
      </c>
      <c r="D10" s="8" t="s">
        <v>11</v>
      </c>
      <c r="E10" s="6">
        <v>14.95</v>
      </c>
    </row>
    <row r="11" spans="1:5" x14ac:dyDescent="0.2">
      <c r="A11" s="5" t="s">
        <v>19</v>
      </c>
      <c r="B11" s="6">
        <v>6</v>
      </c>
      <c r="C11" s="7">
        <v>4</v>
      </c>
      <c r="D11" s="8" t="s">
        <v>11</v>
      </c>
      <c r="E11" s="6">
        <v>5.95</v>
      </c>
    </row>
    <row r="12" spans="1:5" x14ac:dyDescent="0.2">
      <c r="A12" s="5" t="s">
        <v>20</v>
      </c>
      <c r="B12" s="6">
        <v>6</v>
      </c>
      <c r="C12" s="7">
        <v>3</v>
      </c>
      <c r="D12" s="8" t="s">
        <v>11</v>
      </c>
      <c r="E12" s="6">
        <v>5.95</v>
      </c>
    </row>
    <row r="13" spans="1:5" x14ac:dyDescent="0.2">
      <c r="A13" s="5" t="s">
        <v>21</v>
      </c>
      <c r="B13" s="6">
        <v>46</v>
      </c>
      <c r="C13" s="7">
        <v>2</v>
      </c>
      <c r="D13" s="8" t="s">
        <v>7</v>
      </c>
      <c r="E13" s="6">
        <v>46.38</v>
      </c>
    </row>
    <row r="14" spans="1:5" x14ac:dyDescent="0.2">
      <c r="A14" s="5" t="s">
        <v>22</v>
      </c>
      <c r="B14" s="6">
        <v>7</v>
      </c>
      <c r="C14" s="7">
        <v>5</v>
      </c>
      <c r="D14" s="8" t="s">
        <v>11</v>
      </c>
      <c r="E14" s="6">
        <v>6.95</v>
      </c>
    </row>
    <row r="15" spans="1:5" x14ac:dyDescent="0.2">
      <c r="A15" s="5" t="s">
        <v>23</v>
      </c>
      <c r="B15" s="6">
        <v>8</v>
      </c>
      <c r="C15" s="7">
        <v>3</v>
      </c>
      <c r="D15" s="8" t="s">
        <v>11</v>
      </c>
      <c r="E15" s="6">
        <v>7.95</v>
      </c>
    </row>
    <row r="16" spans="1:5" x14ac:dyDescent="0.2">
      <c r="A16" s="5" t="s">
        <v>24</v>
      </c>
      <c r="B16" s="6">
        <v>1.5</v>
      </c>
      <c r="C16" s="7">
        <v>5</v>
      </c>
      <c r="D16" s="8" t="s">
        <v>11</v>
      </c>
      <c r="E16" s="6">
        <v>1.5</v>
      </c>
    </row>
    <row r="17" spans="1:5" x14ac:dyDescent="0.2">
      <c r="A17" s="5" t="s">
        <v>25</v>
      </c>
      <c r="B17" s="6">
        <v>5</v>
      </c>
      <c r="C17" s="7">
        <v>5</v>
      </c>
      <c r="D17" s="8" t="s">
        <v>11</v>
      </c>
      <c r="E17" s="6">
        <v>4.95</v>
      </c>
    </row>
    <row r="18" spans="1:5" x14ac:dyDescent="0.2">
      <c r="A18" s="5" t="s">
        <v>26</v>
      </c>
      <c r="B18" s="6">
        <v>6</v>
      </c>
      <c r="C18" s="7">
        <v>3</v>
      </c>
      <c r="D18" s="8" t="s">
        <v>11</v>
      </c>
      <c r="E18" s="6">
        <v>5.95</v>
      </c>
    </row>
    <row r="19" spans="1:5" x14ac:dyDescent="0.2">
      <c r="A19" s="5" t="s">
        <v>27</v>
      </c>
      <c r="B19" s="6">
        <v>2</v>
      </c>
      <c r="C19" s="7">
        <v>5</v>
      </c>
      <c r="D19" s="8" t="s">
        <v>11</v>
      </c>
      <c r="E19" s="6"/>
    </row>
    <row r="20" spans="1:5" x14ac:dyDescent="0.2">
      <c r="A20" s="5" t="s">
        <v>28</v>
      </c>
      <c r="B20" s="6">
        <v>22</v>
      </c>
      <c r="C20" s="7">
        <v>3</v>
      </c>
      <c r="D20" s="8" t="s">
        <v>17</v>
      </c>
      <c r="E20" s="6">
        <v>21.99</v>
      </c>
    </row>
    <row r="21" spans="1:5" x14ac:dyDescent="0.2">
      <c r="A21" s="5" t="s">
        <v>29</v>
      </c>
      <c r="B21" s="6">
        <v>7.5</v>
      </c>
      <c r="C21" s="7">
        <v>3</v>
      </c>
      <c r="D21" s="8" t="s">
        <v>11</v>
      </c>
      <c r="E21" s="6">
        <v>7.5</v>
      </c>
    </row>
    <row r="22" spans="1:5" x14ac:dyDescent="0.2">
      <c r="A22" s="5" t="s">
        <v>30</v>
      </c>
      <c r="B22" s="6">
        <v>25</v>
      </c>
      <c r="C22" s="7">
        <v>2</v>
      </c>
      <c r="D22" s="8" t="s">
        <v>17</v>
      </c>
      <c r="E22" s="6">
        <v>24.99</v>
      </c>
    </row>
    <row r="23" spans="1:5" x14ac:dyDescent="0.2">
      <c r="A23" s="5" t="s">
        <v>31</v>
      </c>
      <c r="B23" s="6">
        <v>8</v>
      </c>
      <c r="C23" s="7">
        <v>15</v>
      </c>
      <c r="D23" s="8" t="s">
        <v>32</v>
      </c>
      <c r="E23" s="6"/>
    </row>
    <row r="24" spans="1:5" x14ac:dyDescent="0.2">
      <c r="A24" s="5" t="s">
        <v>33</v>
      </c>
      <c r="B24" s="6">
        <v>60</v>
      </c>
      <c r="C24" s="7">
        <v>3</v>
      </c>
      <c r="D24" s="8" t="s">
        <v>34</v>
      </c>
      <c r="E24" s="6"/>
    </row>
    <row r="25" spans="1:5" x14ac:dyDescent="0.2">
      <c r="A25" s="5" t="s">
        <v>35</v>
      </c>
      <c r="B25" s="6">
        <v>12</v>
      </c>
      <c r="C25" s="7">
        <v>3</v>
      </c>
      <c r="D25" s="9"/>
      <c r="E25" s="6"/>
    </row>
    <row r="26" spans="1:5" x14ac:dyDescent="0.2">
      <c r="A26" s="5" t="s">
        <v>36</v>
      </c>
      <c r="B26" s="6">
        <v>22</v>
      </c>
      <c r="C26" s="7">
        <v>1</v>
      </c>
      <c r="D26" s="8" t="s">
        <v>37</v>
      </c>
      <c r="E26" s="6"/>
    </row>
    <row r="27" spans="1:5" x14ac:dyDescent="0.2">
      <c r="A27" s="3" t="s">
        <v>38</v>
      </c>
      <c r="B27" s="4"/>
      <c r="C27" s="4"/>
      <c r="D27" s="4"/>
      <c r="E27" s="4"/>
    </row>
    <row r="28" spans="1:5" x14ac:dyDescent="0.2">
      <c r="A28" s="5" t="s">
        <v>39</v>
      </c>
      <c r="B28" s="6">
        <v>5.95</v>
      </c>
      <c r="C28" s="7">
        <v>3</v>
      </c>
      <c r="D28" s="8" t="s">
        <v>11</v>
      </c>
      <c r="E28" s="6">
        <v>5.95</v>
      </c>
    </row>
    <row r="29" spans="1:5" x14ac:dyDescent="0.2">
      <c r="A29" s="5" t="s">
        <v>40</v>
      </c>
      <c r="B29" s="6">
        <v>3.95</v>
      </c>
      <c r="C29" s="7">
        <v>3</v>
      </c>
      <c r="D29" s="8" t="s">
        <v>11</v>
      </c>
      <c r="E29" s="6">
        <v>3.95</v>
      </c>
    </row>
    <row r="30" spans="1:5" x14ac:dyDescent="0.2">
      <c r="A30" s="5" t="s">
        <v>41</v>
      </c>
      <c r="B30" s="6">
        <v>180</v>
      </c>
      <c r="C30" s="7">
        <v>4</v>
      </c>
      <c r="D30" s="8" t="s">
        <v>42</v>
      </c>
      <c r="E30" s="6"/>
    </row>
    <row r="31" spans="1:5" x14ac:dyDescent="0.2">
      <c r="A31" s="5" t="s">
        <v>43</v>
      </c>
      <c r="B31" s="6">
        <v>0</v>
      </c>
      <c r="C31" s="7">
        <v>1</v>
      </c>
      <c r="D31" s="8" t="s">
        <v>44</v>
      </c>
      <c r="E31" s="6">
        <v>0</v>
      </c>
    </row>
    <row r="32" spans="1:5" x14ac:dyDescent="0.2">
      <c r="A32" s="5" t="s">
        <v>45</v>
      </c>
      <c r="B32" s="6">
        <v>0</v>
      </c>
      <c r="C32" s="7">
        <v>1</v>
      </c>
      <c r="D32" s="8" t="s">
        <v>46</v>
      </c>
      <c r="E32" s="6">
        <v>0</v>
      </c>
    </row>
    <row r="33" spans="1:5" x14ac:dyDescent="0.2">
      <c r="A33" s="5" t="s">
        <v>47</v>
      </c>
      <c r="B33" s="6">
        <v>0.09</v>
      </c>
      <c r="C33" s="7">
        <v>5000</v>
      </c>
      <c r="D33" s="8" t="s">
        <v>48</v>
      </c>
      <c r="E33" s="6"/>
    </row>
    <row r="34" spans="1:5" x14ac:dyDescent="0.2">
      <c r="A34" s="5" t="s">
        <v>49</v>
      </c>
      <c r="B34" s="10">
        <f>60+86.3+16.42+45+3*'Manufacturing (30 units)'!B8</f>
        <v>446.84700000000004</v>
      </c>
      <c r="C34" s="7">
        <v>3</v>
      </c>
      <c r="D34" s="8" t="s">
        <v>50</v>
      </c>
      <c r="E34" s="6"/>
    </row>
    <row r="35" spans="1:5" x14ac:dyDescent="0.2">
      <c r="A35" s="3" t="s">
        <v>51</v>
      </c>
      <c r="B35" s="4"/>
      <c r="C35" s="4"/>
      <c r="D35" s="4"/>
      <c r="E35" s="4"/>
    </row>
    <row r="36" spans="1:5" x14ac:dyDescent="0.2">
      <c r="A36" s="5" t="s">
        <v>52</v>
      </c>
      <c r="B36" s="6">
        <v>35.99</v>
      </c>
      <c r="C36" s="7">
        <v>2</v>
      </c>
      <c r="D36" s="8" t="s">
        <v>53</v>
      </c>
      <c r="E36" s="6">
        <v>35.99</v>
      </c>
    </row>
    <row r="37" spans="1:5" x14ac:dyDescent="0.2">
      <c r="A37" s="5" t="s">
        <v>54</v>
      </c>
      <c r="B37" s="6">
        <v>210</v>
      </c>
      <c r="C37" s="7">
        <v>1</v>
      </c>
      <c r="D37" s="8" t="s">
        <v>55</v>
      </c>
      <c r="E37" s="6"/>
    </row>
    <row r="38" spans="1:5" x14ac:dyDescent="0.2">
      <c r="A38" s="5" t="s">
        <v>56</v>
      </c>
      <c r="B38" s="6">
        <v>6.95</v>
      </c>
      <c r="C38" s="7">
        <v>2</v>
      </c>
      <c r="D38" s="8" t="s">
        <v>11</v>
      </c>
      <c r="E38" s="6">
        <v>6.95</v>
      </c>
    </row>
    <row r="40" spans="1:5" x14ac:dyDescent="0.2">
      <c r="A40" s="11" t="s">
        <v>57</v>
      </c>
      <c r="B40" s="12">
        <f>SUMPRODUCT(C2:C38,B2:B38)+SUMPRODUCT(C2:C38,(E2:E38&lt;&gt;"")*(E2:E38-B2:B38))</f>
        <v>4068.1310000000003</v>
      </c>
      <c r="C40" s="13"/>
      <c r="D40" s="13"/>
      <c r="E40" s="13"/>
    </row>
  </sheetData>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xr:uid="{00000000-0004-0000-0000-000010000000}"/>
    <hyperlink ref="D20" r:id="rId18" xr:uid="{00000000-0004-0000-0000-000011000000}"/>
    <hyperlink ref="D21" r:id="rId19" xr:uid="{00000000-0004-0000-0000-000012000000}"/>
    <hyperlink ref="D22" r:id="rId20" xr:uid="{00000000-0004-0000-0000-000013000000}"/>
    <hyperlink ref="D23" r:id="rId21" xr:uid="{00000000-0004-0000-0000-000014000000}"/>
    <hyperlink ref="D24" r:id="rId22" xr:uid="{00000000-0004-0000-0000-000015000000}"/>
    <hyperlink ref="D26" r:id="rId23" xr:uid="{00000000-0004-0000-0000-000016000000}"/>
    <hyperlink ref="D28" r:id="rId24" xr:uid="{00000000-0004-0000-0000-000017000000}"/>
    <hyperlink ref="D29" r:id="rId25" xr:uid="{00000000-0004-0000-0000-000018000000}"/>
    <hyperlink ref="D30" r:id="rId26" xr:uid="{00000000-0004-0000-0000-000019000000}"/>
    <hyperlink ref="D31" r:id="rId27" xr:uid="{00000000-0004-0000-0000-00001A000000}"/>
    <hyperlink ref="D32" r:id="rId28" xr:uid="{00000000-0004-0000-0000-00001B000000}"/>
    <hyperlink ref="D33" r:id="rId29" xr:uid="{00000000-0004-0000-0000-00001C000000}"/>
    <hyperlink ref="D34" r:id="rId30" xr:uid="{00000000-0004-0000-0000-00001D000000}"/>
    <hyperlink ref="D36" r:id="rId31" xr:uid="{00000000-0004-0000-0000-00001E000000}"/>
    <hyperlink ref="D37" r:id="rId32" xr:uid="{00000000-0004-0000-0000-00001F000000}"/>
    <hyperlink ref="D38" r:id="rId33" xr:uid="{00000000-0004-0000-0000-000020000000}"/>
  </hyperlinks>
  <pageMargins left="0.75" right="0.75" top="1" bottom="1" header="0.5" footer="0.5"/>
  <pageSetup fitToHeight="0" orientation="landscape"/>
  <legacyDrawing r:id="rId3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8"/>
  <sheetViews>
    <sheetView showGridLines="0" workbookViewId="0">
      <pane ySplit="1" topLeftCell="A2" activePane="bottomLeft" state="frozen"/>
      <selection pane="bottomLeft"/>
    </sheetView>
  </sheetViews>
  <sheetFormatPr baseColWidth="10" defaultColWidth="8.83203125" defaultRowHeight="15" x14ac:dyDescent="0.2"/>
  <cols>
    <col min="1" max="1" width="50" customWidth="1"/>
    <col min="2" max="2" width="13" customWidth="1"/>
    <col min="3" max="3" width="11" customWidth="1"/>
    <col min="4" max="4" width="14" customWidth="1"/>
    <col min="5" max="5" width="64" customWidth="1"/>
  </cols>
  <sheetData>
    <row r="1" spans="1:5" ht="26" customHeight="1" x14ac:dyDescent="0.2">
      <c r="A1" s="14" t="s">
        <v>58</v>
      </c>
      <c r="B1" s="15" t="s">
        <v>59</v>
      </c>
      <c r="C1" s="15" t="s">
        <v>60</v>
      </c>
      <c r="D1" s="15" t="s">
        <v>61</v>
      </c>
      <c r="E1" s="14" t="s">
        <v>62</v>
      </c>
    </row>
    <row r="2" spans="1:5" x14ac:dyDescent="0.2">
      <c r="A2" s="5" t="s">
        <v>63</v>
      </c>
      <c r="C2" s="16">
        <v>36</v>
      </c>
      <c r="E2" s="17" t="s">
        <v>64</v>
      </c>
    </row>
    <row r="3" spans="1:5" x14ac:dyDescent="0.2">
      <c r="A3" s="5" t="s">
        <v>65</v>
      </c>
      <c r="C3" s="16">
        <v>30</v>
      </c>
      <c r="E3" s="17"/>
    </row>
    <row r="4" spans="1:5" x14ac:dyDescent="0.2">
      <c r="A4" s="5" t="s">
        <v>66</v>
      </c>
      <c r="B4" s="6">
        <v>200</v>
      </c>
      <c r="E4" s="17"/>
    </row>
    <row r="6" spans="1:5" x14ac:dyDescent="0.2">
      <c r="A6" s="5" t="s">
        <v>67</v>
      </c>
      <c r="B6" s="6">
        <v>4.17</v>
      </c>
      <c r="C6" s="18">
        <f>$C$2</f>
        <v>36</v>
      </c>
      <c r="D6" s="10">
        <f t="shared" ref="D6:D14" si="0">B6*C6</f>
        <v>150.12</v>
      </c>
      <c r="E6" s="17" t="s">
        <v>68</v>
      </c>
    </row>
    <row r="7" spans="1:5" x14ac:dyDescent="0.2">
      <c r="A7" s="5" t="s">
        <v>69</v>
      </c>
      <c r="B7" s="6">
        <v>250</v>
      </c>
      <c r="C7" s="16">
        <v>1</v>
      </c>
      <c r="D7" s="10">
        <f t="shared" si="0"/>
        <v>250</v>
      </c>
      <c r="E7" s="17" t="s">
        <v>70</v>
      </c>
    </row>
    <row r="8" spans="1:5" x14ac:dyDescent="0.2">
      <c r="A8" s="5" t="s">
        <v>71</v>
      </c>
      <c r="B8" s="10">
        <f>3.5*1+3.17*1+1.81*1+6.58*1+1.38*1+5.64*1+3.22*2+2.56*1+4.46*1+1.21*1+1.64*1+0.699*1+2.5*1+0.3*3+5.81*1+4.49*1+17.92*1+9</f>
        <v>79.709000000000003</v>
      </c>
      <c r="C8" s="18">
        <f>$C$2</f>
        <v>36</v>
      </c>
      <c r="D8" s="10">
        <f t="shared" si="0"/>
        <v>2869.5240000000003</v>
      </c>
      <c r="E8" s="17" t="s">
        <v>72</v>
      </c>
    </row>
    <row r="9" spans="1:5" x14ac:dyDescent="0.2">
      <c r="A9" s="5" t="s">
        <v>73</v>
      </c>
      <c r="B9" s="6">
        <v>6</v>
      </c>
      <c r="C9" s="18">
        <f>$C$2</f>
        <v>36</v>
      </c>
      <c r="D9" s="10">
        <f t="shared" si="0"/>
        <v>216</v>
      </c>
      <c r="E9" s="17" t="s">
        <v>74</v>
      </c>
    </row>
    <row r="10" spans="1:5" x14ac:dyDescent="0.2">
      <c r="A10" s="5" t="s">
        <v>75</v>
      </c>
      <c r="B10" s="6">
        <v>2.5</v>
      </c>
      <c r="C10" s="18">
        <f>$C$2</f>
        <v>36</v>
      </c>
      <c r="D10" s="10">
        <f t="shared" si="0"/>
        <v>90</v>
      </c>
      <c r="E10" s="17" t="s">
        <v>76</v>
      </c>
    </row>
    <row r="11" spans="1:5" x14ac:dyDescent="0.2">
      <c r="A11" s="5" t="s">
        <v>77</v>
      </c>
      <c r="B11" s="6">
        <v>4.46</v>
      </c>
      <c r="C11" s="18">
        <f>$C$2</f>
        <v>36</v>
      </c>
      <c r="D11" s="10">
        <f t="shared" si="0"/>
        <v>160.56</v>
      </c>
      <c r="E11" s="17" t="s">
        <v>78</v>
      </c>
    </row>
    <row r="12" spans="1:5" x14ac:dyDescent="0.2">
      <c r="A12" s="5" t="s">
        <v>79</v>
      </c>
      <c r="B12" s="6">
        <v>2.5</v>
      </c>
      <c r="C12" s="18">
        <f>$C$2</f>
        <v>36</v>
      </c>
      <c r="D12" s="10">
        <f t="shared" si="0"/>
        <v>90</v>
      </c>
      <c r="E12" s="17" t="s">
        <v>80</v>
      </c>
    </row>
    <row r="13" spans="1:5" x14ac:dyDescent="0.2">
      <c r="A13" s="5" t="s">
        <v>81</v>
      </c>
      <c r="B13" s="6">
        <v>250</v>
      </c>
      <c r="C13" s="16">
        <v>1</v>
      </c>
      <c r="D13" s="10">
        <f t="shared" si="0"/>
        <v>250</v>
      </c>
      <c r="E13" s="17" t="s">
        <v>82</v>
      </c>
    </row>
    <row r="14" spans="1:5" x14ac:dyDescent="0.2">
      <c r="A14" s="5" t="s">
        <v>83</v>
      </c>
      <c r="B14" s="10">
        <f>1*$C$2+14*$C$3+1.5*$C$2+100</f>
        <v>610</v>
      </c>
      <c r="C14" s="16">
        <v>1</v>
      </c>
      <c r="D14" s="10">
        <f t="shared" si="0"/>
        <v>610</v>
      </c>
      <c r="E14" s="17" t="s">
        <v>84</v>
      </c>
    </row>
    <row r="15" spans="1:5" x14ac:dyDescent="0.2">
      <c r="A15" s="19" t="s">
        <v>85</v>
      </c>
      <c r="B15" s="20"/>
      <c r="C15" s="20"/>
      <c r="D15" s="21">
        <f>SUM(D6:D14)</f>
        <v>4686.2039999999997</v>
      </c>
      <c r="E15" s="20"/>
    </row>
    <row r="16" spans="1:5" x14ac:dyDescent="0.2">
      <c r="A16" s="5" t="s">
        <v>86</v>
      </c>
      <c r="B16" s="22">
        <v>0.05</v>
      </c>
      <c r="D16" s="10">
        <f>B16*D15</f>
        <v>234.31020000000001</v>
      </c>
      <c r="E16" s="23" t="s">
        <v>87</v>
      </c>
    </row>
    <row r="17" spans="1:5" x14ac:dyDescent="0.2">
      <c r="A17" s="11" t="s">
        <v>61</v>
      </c>
      <c r="B17" s="13"/>
      <c r="C17" s="13"/>
      <c r="D17" s="12">
        <f>D15+D16</f>
        <v>4920.5141999999996</v>
      </c>
      <c r="E17" s="13"/>
    </row>
    <row r="18" spans="1:5" x14ac:dyDescent="0.2">
      <c r="A18" s="24" t="s">
        <v>88</v>
      </c>
      <c r="B18" s="20"/>
      <c r="C18" s="20"/>
      <c r="D18" s="25">
        <f>D17/$C$3</f>
        <v>164.01713999999998</v>
      </c>
      <c r="E18" s="26" t="str">
        <f>IF(D18&lt;=B4,"✓ Under the $"&amp;TEXT(B4,"0")&amp;" target","✗ Over the $"&amp;TEXT(B4,"0")&amp;" target")</f>
        <v>✓ Under the $200 target</v>
      </c>
    </row>
  </sheetData>
  <hyperlinks>
    <hyperlink ref="A6" r:id="rId1" xr:uid="{00000000-0004-0000-0100-000000000000}"/>
    <hyperlink ref="A7" r:id="rId2" xr:uid="{00000000-0004-0000-0100-000001000000}"/>
    <hyperlink ref="A9" r:id="rId3" xr:uid="{00000000-0004-0000-0100-000002000000}"/>
    <hyperlink ref="A11" r:id="rId4" xr:uid="{00000000-0004-0000-0100-000003000000}"/>
    <hyperlink ref="A13" r:id="rId5" xr:uid="{00000000-0004-0000-0100-000004000000}"/>
  </hyperlinks>
  <pageMargins left="0.75" right="0.75" top="1" bottom="1" header="0.5" footer="0.5"/>
  <pageSetup fitToHeight="0" orientation="landscape"/>
  <legacyDrawing r:id="rId6"/>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Components</vt:lpstr>
      <vt:lpstr>Manufacturing (30 units)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Evan Weilun Liu</cp:lastModifiedBy>
  <dcterms:created xsi:type="dcterms:W3CDTF">2026-09-29T12:06:16Z</dcterms:created>
  <dcterms:modified xsi:type="dcterms:W3CDTF">2026-09-29T12:06:20Z</dcterms:modified>
</cp:coreProperties>
</file>