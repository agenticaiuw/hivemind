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s" sheetId="1" state="visible" r:id="rId1"/>
    <sheet name="Manufacturing (30 units)" sheetId="2" state="visible" r:id="rId2"/>
  </sheets>
  <definedNames/>
  <calcPr calcId="124519" fullCalcOnLoad="1"/>
</workbook>
</file>

<file path=xl/styles.xml><?xml version="1.0" encoding="utf-8"?>
<styleSheet xmlns="http://schemas.openxmlformats.org/spreadsheetml/2006/main">
  <numFmts count="1">
    <numFmt numFmtId="164" formatCode="$#,##0.00;($#,##0.00);&quot;-&quot;"/>
  </numFmts>
  <fonts count="7">
    <font>
      <name val="Calibri"/>
      <family val="2"/>
      <color theme="1"/>
      <sz val="11"/>
      <scheme val="minor"/>
    </font>
    <font>
      <name val="Arial"/>
      <b val="1"/>
      <color rgb="00FFFFFF"/>
      <sz val="10"/>
    </font>
    <font>
      <name val="Arial"/>
      <b val="1"/>
      <sz val="10"/>
    </font>
    <font>
      <name val="Arial"/>
      <sz val="10"/>
    </font>
    <font>
      <name val="Arial"/>
      <color rgb="000000FF"/>
      <sz val="10"/>
    </font>
    <font>
      <name val="Arial"/>
      <color rgb="001F4E5A"/>
      <sz val="10"/>
      <u val="single"/>
    </font>
    <font>
      <name val="Arial"/>
      <color rgb="00595959"/>
      <sz val="10"/>
    </font>
  </fonts>
  <fills count="4">
    <fill>
      <patternFill/>
    </fill>
    <fill>
      <patternFill patternType="gray125"/>
    </fill>
    <fill>
      <patternFill patternType="solid">
        <fgColor rgb="001F4E5A"/>
      </patternFill>
    </fill>
    <fill>
      <patternFill patternType="solid">
        <fgColor rgb="00E8F0F2"/>
      </patternFill>
    </fill>
  </fills>
  <borders count="3">
    <border>
      <left/>
      <right/>
      <top/>
      <bottom/>
      <diagonal/>
    </border>
    <border>
      <top style="medium">
        <color rgb="001F4E5A"/>
      </top>
    </border>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pivotButton="0" quotePrefix="0" xfId="0"/>
    <xf numFmtId="0" fontId="0" fillId="3" borderId="0" pivotButton="0" quotePrefix="0" xfId="0"/>
    <xf numFmtId="0" fontId="3" fillId="0" borderId="0" pivotButton="0" quotePrefix="0" xfId="0"/>
    <xf numFmtId="164" fontId="4" fillId="0" borderId="0" pivotButton="0" quotePrefix="0" xfId="0"/>
    <xf numFmtId="3" fontId="4" fillId="0" borderId="0" applyAlignment="1" pivotButton="0" quotePrefix="0" xfId="0">
      <alignment horizontal="center"/>
    </xf>
    <xf numFmtId="0" fontId="5" fillId="0" borderId="0" applyAlignment="1" pivotButton="0" quotePrefix="0" xfId="0">
      <alignment horizontal="left" vertical="center"/>
    </xf>
    <xf numFmtId="0" fontId="3" fillId="0" borderId="0" applyAlignment="1" pivotButton="0" quotePrefix="0" xfId="0">
      <alignment vertical="center" wrapText="1"/>
    </xf>
    <xf numFmtId="0" fontId="0" fillId="0" borderId="0" applyAlignment="1" pivotButton="0" quotePrefix="0" xfId="0">
      <alignment horizontal="left" vertical="center"/>
    </xf>
    <xf numFmtId="0" fontId="2" fillId="0" borderId="1" pivotButton="0" quotePrefix="0" xfId="0"/>
    <xf numFmtId="164" fontId="2" fillId="0" borderId="1" pivotButton="0" quotePrefix="0" xfId="0"/>
    <xf numFmtId="0" fontId="0" fillId="0" borderId="1" pivotButton="0" quotePrefix="0" xfId="0"/>
    <xf numFmtId="0" fontId="1" fillId="2" borderId="0" applyAlignment="1" pivotButton="0" quotePrefix="0" xfId="0">
      <alignment horizontal="left" vertical="center"/>
    </xf>
    <xf numFmtId="0" fontId="1" fillId="2" borderId="0" applyAlignment="1" pivotButton="0" quotePrefix="0" xfId="0">
      <alignment horizontal="center" vertical="center"/>
    </xf>
    <xf numFmtId="1" fontId="4" fillId="0" borderId="0" applyAlignment="1" pivotButton="0" quotePrefix="0" xfId="0">
      <alignment horizontal="center"/>
    </xf>
    <xf numFmtId="0" fontId="6" fillId="0" borderId="0" applyAlignment="1" pivotButton="0" quotePrefix="0" xfId="0">
      <alignment vertical="top" wrapText="1"/>
    </xf>
    <xf numFmtId="1" fontId="3" fillId="0" borderId="0" applyAlignment="1" pivotButton="0" quotePrefix="0" xfId="0">
      <alignment horizontal="center"/>
    </xf>
    <xf numFmtId="164" fontId="3" fillId="0" borderId="0" pivotButton="0" quotePrefix="0" xfId="0"/>
    <xf numFmtId="0" fontId="3" fillId="0" borderId="2" pivotButton="0" quotePrefix="0" xfId="0"/>
    <xf numFmtId="0" fontId="0" fillId="0" borderId="2" pivotButton="0" quotePrefix="0" xfId="0"/>
    <xf numFmtId="164" fontId="3" fillId="0" borderId="2" pivotButton="0" quotePrefix="0" xfId="0"/>
    <xf numFmtId="9" fontId="4" fillId="0" borderId="0" pivotButton="0" quotePrefix="0" xfId="0"/>
    <xf numFmtId="0" fontId="6" fillId="0" borderId="0" pivotButton="0" quotePrefix="0" xfId="0"/>
    <xf numFmtId="0" fontId="2" fillId="0" borderId="2" pivotButton="0" quotePrefix="0" xfId="0"/>
    <xf numFmtId="164" fontId="2" fillId="0" borderId="2" pivotButton="0" quotePrefix="0" xfId="0"/>
    <xf numFmtId="0" fontId="2" fillId="3"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budget</author>
  </authors>
  <commentList>
    <comment ref="A30" authorId="0" shapeId="0">
      <text>
        <t>Units = months.</t>
      </text>
    </comment>
    <comment ref="A33" authorId="0" shapeId="0">
      <text>
        <t>Units = minutes of testing.</t>
      </text>
    </comment>
    <comment ref="A34" authorId="0" shapeId="0">
      <text>
        <t>Rough per-unit allowance. Each unit may use a different low-power chip / configuration.</t>
      </text>
    </comment>
  </commentList>
</comments>
</file>

<file path=xl/comments/comment2.xml><?xml version="1.0" encoding="utf-8"?>
<comments xmlns="http://schemas.openxmlformats.org/spreadsheetml/2006/main">
  <authors>
    <author>budget</author>
  </authors>
  <commentList>
    <comment ref="A8" authorId="0" shapeId="0">
      <text>
        <t>Qty-100 price x per-device qty (falls back to Actual, then Estimate):
nRF7002 Wi-Fi 6 companion IC 3.5 x1
Bosch BMI270 3.17 x1
Nordic nPM1304 PMIC 1.81 x1
Jauch LP402535 370 mAh with PCM 6.58 x1
TI DRV2605L 1.38 x1
Vybronics 10 mm LRA 5.64 x1
Knowles SPH0641LU4H-1 PDM mic 3.22 x2
ADI MAX98357A 2.56 x1
PUI AS01308MR-2-R 13 mm 8 ohm 4.46 x1
Microchip AT42QT1070 1.21 x1
Ignion NN02-224 multiband LTE chip 1.64 x1
Johanson GNSS chip antenna 0.699 x1
1NCE IoT SIM chip 2.5 x1
TI TPS22916C load switch 0.3 x3
CS SD NAND 1 Gbit 5.81 x1
nRF54LM20B BLE 6.0 SoC + Axon NPU 4.49 x1
nRF9151 LTE-M/NB-IoT/GNSS SiP 17.92 x1
Passives/crystals/BLE antenna allowance: 9</t>
      </text>
    </comment>
    <comment ref="A14" authorId="0" shapeId="0">
      <text>
        <t>Not in the requested row list but real costs from manufacturing.json: SIM $1 x 36, $14 flat plan x 30, magnet $1.50 x 36, test fixture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ikey.com/en/products/detail/nordic-semiconductor-asa/NRF9151-DK/24420446" TargetMode="External" Id="rId1" /><Relationship Type="http://schemas.openxmlformats.org/officeDocument/2006/relationships/hyperlink" Target="https://www.digikey.com/en/products/detail/nordic-semiconductor-asa/NRF54LM20-DK/27685498" TargetMode="External" Id="rId2" /><Relationship Type="http://schemas.openxmlformats.org/officeDocument/2006/relationships/hyperlink" Target="https://www.digikey.com/en/products/result?keywords=NRF7002-EK" TargetMode="External" Id="rId3" /><Relationship Type="http://schemas.openxmlformats.org/officeDocument/2006/relationships/hyperlink" Target="https://www.adafruit.com/product/6038" TargetMode="External" Id="rId4" /><Relationship Type="http://schemas.openxmlformats.org/officeDocument/2006/relationships/hyperlink" Target="https://www.uctronics.com/amp/camera-modules/stm32-camera-modules/arducam-mini-module-camera-shield-w-2-mp-ov2640-for-arduino-uno-mega2560-board.html" TargetMode="External" Id="rId5" /><Relationship Type="http://schemas.openxmlformats.org/officeDocument/2006/relationships/hyperlink" Target="https://www.sparkfun.com/sparkfun-6dof-imu-breakout-bmi270-qwiic.html" TargetMode="External" Id="rId6" /><Relationship Type="http://schemas.openxmlformats.org/officeDocument/2006/relationships/hyperlink" Target="https://www.waveshare.com/uart-fingerprint-sensor-d.htm" TargetMode="External" Id="rId7" /><Relationship Type="http://schemas.openxmlformats.org/officeDocument/2006/relationships/hyperlink" Target="https://www.adafruit.com/product/1901" TargetMode="External" Id="rId8" /><Relationship Type="http://schemas.openxmlformats.org/officeDocument/2006/relationships/hyperlink" Target="https://www.adafruit.com/product/4410" TargetMode="External" Id="rId9" /><Relationship Type="http://schemas.openxmlformats.org/officeDocument/2006/relationships/hyperlink" Target="https://www.adafruit.com/product/5580" TargetMode="External" Id="rId10" /><Relationship Type="http://schemas.openxmlformats.org/officeDocument/2006/relationships/hyperlink" Target="https://www.digikey.com/en/products/result?keywords=NPM1304-EK" TargetMode="External" Id="rId11" /><Relationship Type="http://schemas.openxmlformats.org/officeDocument/2006/relationships/hyperlink" Target="https://www.adafruit.com/product/2750" TargetMode="External" Id="rId12" /><Relationship Type="http://schemas.openxmlformats.org/officeDocument/2006/relationships/hyperlink" Target="https://www.adafruit.com/product/2305" TargetMode="External" Id="rId13" /><Relationship Type="http://schemas.openxmlformats.org/officeDocument/2006/relationships/hyperlink" Target="https://www.adafruit.com/product/160" TargetMode="External" Id="rId14" /><Relationship Type="http://schemas.openxmlformats.org/officeDocument/2006/relationships/hyperlink" Target="https://www.adafruit.com/product/3492" TargetMode="External" Id="rId15" /><Relationship Type="http://schemas.openxmlformats.org/officeDocument/2006/relationships/hyperlink" Target="https://www.adafruit.com/product/3006" TargetMode="External" Id="rId16" /><Relationship Type="http://schemas.openxmlformats.org/officeDocument/2006/relationships/hyperlink" Target="https://www.adafruit.com/product/3923" TargetMode="External" Id="rId17" /><Relationship Type="http://schemas.openxmlformats.org/officeDocument/2006/relationships/hyperlink" Target="https://www.waveshare.com/2.9inch-e-paper-module.htm" TargetMode="External" Id="rId18" /><Relationship Type="http://schemas.openxmlformats.org/officeDocument/2006/relationships/hyperlink" Target="https://www.adafruit.com/product/1362" TargetMode="External" Id="rId19" /><Relationship Type="http://schemas.openxmlformats.org/officeDocument/2006/relationships/hyperlink" Target="https://www.waveshare.com/pico-captouch-epaper-2.9.htm" TargetMode="External" Id="rId20" /><Relationship Type="http://schemas.openxmlformats.org/officeDocument/2006/relationships/hyperlink" Target="https://jlc3dp.com/" TargetMode="External" Id="rId21" /><Relationship Type="http://schemas.openxmlformats.org/officeDocument/2006/relationships/hyperlink" Target="https://jlccnc.com/" TargetMode="External" Id="rId22" /><Relationship Type="http://schemas.openxmlformats.org/officeDocument/2006/relationships/hyperlink" Target="https://www.amazon.com/clp/B0CDGDG135" TargetMode="External" Id="rId23" /><Relationship Type="http://schemas.openxmlformats.org/officeDocument/2006/relationships/hyperlink" Target="https://www.adafruit.com/product/239" TargetMode="External" Id="rId24" /><Relationship Type="http://schemas.openxmlformats.org/officeDocument/2006/relationships/hyperlink" Target="https://www.adafruit.com/product/758" TargetMode="External" Id="rId25" /><Relationship Type="http://schemas.openxmlformats.org/officeDocument/2006/relationships/hyperlink" Target="https://claude.com/pricing" TargetMode="External" Id="rId26" /><Relationship Type="http://schemas.openxmlformats.org/officeDocument/2006/relationships/hyperlink" Target="https://www.kicad.org/" TargetMode="External" Id="rId27" /><Relationship Type="http://schemas.openxmlformats.org/officeDocument/2006/relationships/hyperlink" Target="https://www.onshape.com/en/education" TargetMode="External" Id="rId28" /><Relationship Type="http://schemas.openxmlformats.org/officeDocument/2006/relationships/hyperlink" Target="https://openai.com/api/pricing/" TargetMode="External" Id="rId29" /><Relationship Type="http://schemas.openxmlformats.org/officeDocument/2006/relationships/hyperlink" Target="https://jlcpcb.com/news/discount-on-quality-4-layer-pcbs" TargetMode="External" Id="rId30" /><Relationship Type="http://schemas.openxmlformats.org/officeDocument/2006/relationships/hyperlink" Target="https://www.pine64.com/product/pinecil-smart-mini-portable-soldering-iron/" TargetMode="External" Id="rId31" /><Relationship Type="http://schemas.openxmlformats.org/officeDocument/2006/relationships/hyperlink" Target="https://andonstar.com/product/ad407-pro-3d-hdmi-soldering-digital-microscope/" TargetMode="External" Id="rId32" /><Relationship Type="http://schemas.openxmlformats.org/officeDocument/2006/relationships/hyperlink" Target="https://www.adafruit.com/product/291" TargetMode="External" Id="rId3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jlcpcb.com/news/discount-on-quality-4-layer-pcbs" TargetMode="External" Id="rId1" /><Relationship Type="http://schemas.openxmlformats.org/officeDocument/2006/relationships/hyperlink" Target="https://jlcpcb.com/help/article/pcb-assembly-price" TargetMode="External" Id="rId2" /><Relationship Type="http://schemas.openxmlformats.org/officeDocument/2006/relationships/hyperlink" Target="https://jlc3dp.com/" TargetMode="External" Id="rId3" /><Relationship Type="http://schemas.openxmlformats.org/officeDocument/2006/relationships/hyperlink" Target="https://www.adafruit.com/product/5412" TargetMode="External" Id="rId4" /><Relationship Type="http://schemas.openxmlformats.org/officeDocument/2006/relationships/hyperlink" Target="https://jlcpcb.com/help/article/us-tariff-policy-faq" TargetMode="External" Id="rId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fitToPage="1"/>
  </sheetPr>
  <dimension ref="A1:F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22" customWidth="1" min="4" max="4"/>
    <col width="40" customWidth="1" min="5" max="5"/>
    <col width="16" customWidth="1" min="6" max="6"/>
  </cols>
  <sheetData>
    <row r="1" ht="34" customHeight="1">
      <c r="A1" s="1" t="inlineStr">
        <is>
          <t>Name</t>
        </is>
      </c>
      <c r="B1" s="2" t="inlineStr">
        <is>
          <t>Estimate Cost</t>
        </is>
      </c>
      <c r="C1" s="2" t="inlineStr">
        <is>
          <t>Estimated Units for Testing</t>
        </is>
      </c>
      <c r="D1" s="2" t="inlineStr">
        <is>
          <t>Product Link</t>
        </is>
      </c>
      <c r="E1" s="2" t="inlineStr">
        <is>
          <t>Product Name</t>
        </is>
      </c>
      <c r="F1" s="2" t="inlineStr">
        <is>
          <t>Actual Product Price</t>
        </is>
      </c>
    </row>
    <row r="2">
      <c r="A2" s="3" t="inlineStr">
        <is>
          <t>Components</t>
        </is>
      </c>
      <c r="B2" s="4" t="n"/>
      <c r="C2" s="4" t="n"/>
      <c r="D2" s="4" t="n"/>
      <c r="E2" s="4" t="n"/>
      <c r="F2" s="4" t="n"/>
    </row>
    <row r="3">
      <c r="A3" s="5" t="inlineStr">
        <is>
          <t>Processing chip (cellular)</t>
        </is>
      </c>
      <c r="B3" s="6" t="n">
        <v>102.43</v>
      </c>
      <c r="C3" s="7" t="n">
        <v>1</v>
      </c>
      <c r="D3" s="8" t="inlineStr">
        <is>
          <t>digikey.com</t>
        </is>
      </c>
      <c r="E3" s="9" t="inlineStr">
        <is>
          <t>nRF9151 DK</t>
        </is>
      </c>
      <c r="F3" s="6" t="n">
        <v>102.43</v>
      </c>
    </row>
    <row r="4">
      <c r="A4" s="5" t="inlineStr">
        <is>
          <t>Bluetooth chip</t>
        </is>
      </c>
      <c r="B4" s="6" t="n">
        <v>45</v>
      </c>
      <c r="C4" s="7" t="n">
        <v>3</v>
      </c>
      <c r="D4" s="8" t="inlineStr">
        <is>
          <t>digikey.com</t>
        </is>
      </c>
      <c r="E4" s="9" t="inlineStr">
        <is>
          <t>nRF54LM20 DK</t>
        </is>
      </c>
      <c r="F4" s="6" t="n">
        <v>45</v>
      </c>
    </row>
    <row r="5">
      <c r="A5" s="5" t="inlineStr">
        <is>
          <t>Wi-Fi chip</t>
        </is>
      </c>
      <c r="B5" s="6" t="n">
        <v>20</v>
      </c>
      <c r="C5" s="7" t="n">
        <v>2</v>
      </c>
      <c r="D5" s="8" t="inlineStr">
        <is>
          <t>digikey.com</t>
        </is>
      </c>
      <c r="E5" s="9" t="inlineStr">
        <is>
          <t>nRF7002 EK</t>
        </is>
      </c>
      <c r="F5" s="6" t="n">
        <v>20.33</v>
      </c>
    </row>
    <row r="6">
      <c r="A6" s="5" t="inlineStr">
        <is>
          <t>Flash storage</t>
        </is>
      </c>
      <c r="B6" s="6" t="n">
        <v>11</v>
      </c>
      <c r="C6" s="7" t="n">
        <v>3</v>
      </c>
      <c r="D6" s="8" t="inlineStr">
        <is>
          <t>adafruit.com</t>
        </is>
      </c>
      <c r="E6" s="9" t="inlineStr">
        <is>
          <t>Adafruit SPI Flash SD Card - XTSD 2 GB</t>
        </is>
      </c>
      <c r="F6" s="6" t="n"/>
    </row>
    <row r="7">
      <c r="A7" s="5" t="inlineStr">
        <is>
          <t>Camera</t>
        </is>
      </c>
      <c r="B7" s="6" t="n">
        <v>26</v>
      </c>
      <c r="C7" s="7" t="n">
        <v>2</v>
      </c>
      <c r="D7" s="8" t="inlineStr">
        <is>
          <t>uctronics.com</t>
        </is>
      </c>
      <c r="E7" s="9" t="inlineStr">
        <is>
          <t>Arducam Mini 2MP</t>
        </is>
      </c>
      <c r="F7" s="6" t="n">
        <v>25.99</v>
      </c>
    </row>
    <row r="8">
      <c r="A8" s="5" t="inlineStr">
        <is>
          <t>IMU</t>
        </is>
      </c>
      <c r="B8" s="6" t="n">
        <v>18.5</v>
      </c>
      <c r="C8" s="7" t="n">
        <v>3</v>
      </c>
      <c r="D8" s="8" t="inlineStr">
        <is>
          <t>sparkfun.com</t>
        </is>
      </c>
      <c r="E8" s="9" t="inlineStr">
        <is>
          <t>SparkFun 6DoF IMU BMI270</t>
        </is>
      </c>
      <c r="F8" s="6" t="n">
        <v>18.5</v>
      </c>
    </row>
    <row r="9">
      <c r="A9" s="5" t="inlineStr">
        <is>
          <t>Fingerprint sensor</t>
        </is>
      </c>
      <c r="B9" s="6" t="n">
        <v>17</v>
      </c>
      <c r="C9" s="7" t="n">
        <v>2</v>
      </c>
      <c r="D9" s="8" t="inlineStr">
        <is>
          <t>waveshare.com</t>
        </is>
      </c>
      <c r="E9" s="9" t="inlineStr">
        <is>
          <t>Waveshare UART Fingerprint Sensor</t>
        </is>
      </c>
      <c r="F9" s="6" t="n">
        <v>16.99</v>
      </c>
    </row>
    <row r="10">
      <c r="A10" s="5" t="inlineStr">
        <is>
          <t>Wireless charging (MagSafe-compatible Qi)</t>
        </is>
      </c>
      <c r="B10" s="6" t="n">
        <v>15</v>
      </c>
      <c r="C10" s="7" t="n">
        <v>2</v>
      </c>
      <c r="D10" s="8" t="inlineStr">
        <is>
          <t>adafruit.com</t>
        </is>
      </c>
      <c r="E10" s="9" t="inlineStr">
        <is>
          <t>Adafruit Universal Qi Receiver Module</t>
        </is>
      </c>
      <c r="F10" s="6" t="n">
        <v>14.95</v>
      </c>
    </row>
    <row r="11">
      <c r="A11" s="5" t="inlineStr">
        <is>
          <t>USB-C charging</t>
        </is>
      </c>
      <c r="B11" s="6" t="n">
        <v>6</v>
      </c>
      <c r="C11" s="7" t="n">
        <v>4</v>
      </c>
      <c r="D11" s="8" t="inlineStr">
        <is>
          <t>adafruit.com</t>
        </is>
      </c>
      <c r="E11" s="9" t="inlineStr">
        <is>
          <t>Adafruit Micro-Lipo Charger USB-C</t>
        </is>
      </c>
      <c r="F11" s="6" t="n">
        <v>5.95</v>
      </c>
    </row>
    <row r="12">
      <c r="A12" s="5" t="inlineStr">
        <is>
          <t>Battery charge monitoring (fuel gauge)</t>
        </is>
      </c>
      <c r="B12" s="6" t="n">
        <v>6</v>
      </c>
      <c r="C12" s="7" t="n">
        <v>3</v>
      </c>
      <c r="D12" s="8" t="inlineStr">
        <is>
          <t>adafruit.com</t>
        </is>
      </c>
      <c r="E12" s="9" t="inlineStr">
        <is>
          <t>Adafruit MAX17048 fuel gauge</t>
        </is>
      </c>
      <c r="F12" s="6" t="n">
        <v>5.95</v>
      </c>
    </row>
    <row r="13">
      <c r="A13" s="5" t="inlineStr">
        <is>
          <t>Battery management (charger/protection)</t>
        </is>
      </c>
      <c r="B13" s="6" t="n">
        <v>46</v>
      </c>
      <c r="C13" s="7" t="n">
        <v>2</v>
      </c>
      <c r="D13" s="8" t="inlineStr">
        <is>
          <t>digikey.com</t>
        </is>
      </c>
      <c r="E13" s="9" t="inlineStr">
        <is>
          <t>Nordic nPM1304 EK</t>
        </is>
      </c>
      <c r="F13" s="6" t="n">
        <v>46.38</v>
      </c>
    </row>
    <row r="14">
      <c r="A14" s="5" t="inlineStr">
        <is>
          <t>Battery</t>
        </is>
      </c>
      <c r="B14" s="6" t="n">
        <v>7</v>
      </c>
      <c r="C14" s="7" t="n">
        <v>5</v>
      </c>
      <c r="D14" s="8" t="inlineStr">
        <is>
          <t>adafruit.com</t>
        </is>
      </c>
      <c r="E14" s="9" t="inlineStr">
        <is>
          <t>Adafruit LiPo 3.7 V 350 mAh</t>
        </is>
      </c>
      <c r="F14" s="6" t="n">
        <v>6.95</v>
      </c>
    </row>
    <row r="15">
      <c r="A15" s="5" t="inlineStr">
        <is>
          <t>Haptic driver</t>
        </is>
      </c>
      <c r="B15" s="6" t="n">
        <v>8</v>
      </c>
      <c r="C15" s="7" t="n">
        <v>3</v>
      </c>
      <c r="D15" s="8" t="inlineStr">
        <is>
          <t>adafruit.com</t>
        </is>
      </c>
      <c r="E15" s="9" t="inlineStr">
        <is>
          <t>Adafruit DRV2605L haptic driver</t>
        </is>
      </c>
      <c r="F15" s="6" t="n">
        <v>7.95</v>
      </c>
    </row>
    <row r="16">
      <c r="A16" s="5" t="inlineStr">
        <is>
          <t>Buzzer</t>
        </is>
      </c>
      <c r="B16" s="6" t="n">
        <v>1.5</v>
      </c>
      <c r="C16" s="7" t="n">
        <v>5</v>
      </c>
      <c r="D16" s="8" t="inlineStr">
        <is>
          <t>adafruit.com</t>
        </is>
      </c>
      <c r="E16" s="9" t="inlineStr">
        <is>
          <t>Adafruit piezo buzzer PS1240</t>
        </is>
      </c>
      <c r="F16" s="6" t="n">
        <v>1.5</v>
      </c>
    </row>
    <row r="17">
      <c r="A17" s="5" t="inlineStr">
        <is>
          <t>Microphone</t>
        </is>
      </c>
      <c r="B17" s="6" t="n">
        <v>5</v>
      </c>
      <c r="C17" s="7" t="n">
        <v>5</v>
      </c>
      <c r="D17" s="8" t="inlineStr">
        <is>
          <t>adafruit.com</t>
        </is>
      </c>
      <c r="E17" s="9" t="inlineStr">
        <is>
          <t>Adafruit PDM MEMS mic breakout</t>
        </is>
      </c>
      <c r="F17" s="6" t="n">
        <v>4.95</v>
      </c>
    </row>
    <row r="18">
      <c r="A18" s="5" t="inlineStr">
        <is>
          <t>Amplifier</t>
        </is>
      </c>
      <c r="B18" s="6" t="n">
        <v>6</v>
      </c>
      <c r="C18" s="7" t="n">
        <v>3</v>
      </c>
      <c r="D18" s="8" t="inlineStr">
        <is>
          <t>adafruit.com</t>
        </is>
      </c>
      <c r="E18" s="9" t="inlineStr">
        <is>
          <t>Adafruit MAX98357A I2S amp</t>
        </is>
      </c>
      <c r="F18" s="6" t="n">
        <v>5.95</v>
      </c>
    </row>
    <row r="19">
      <c r="A19" s="5" t="inlineStr">
        <is>
          <t>Speaker</t>
        </is>
      </c>
      <c r="B19" s="6" t="n">
        <v>2</v>
      </c>
      <c r="C19" s="7" t="n">
        <v>5</v>
      </c>
      <c r="D19" s="8" t="inlineStr">
        <is>
          <t>adafruit.com</t>
        </is>
      </c>
      <c r="E19" s="9" t="inlineStr">
        <is>
          <t>Adafruit mini oval speaker 8 ohm 1 W</t>
        </is>
      </c>
      <c r="F19" s="6" t="n"/>
    </row>
    <row r="20">
      <c r="A20" s="5" t="inlineStr">
        <is>
          <t>E-ink display</t>
        </is>
      </c>
      <c r="B20" s="6" t="n">
        <v>22</v>
      </c>
      <c r="C20" s="7" t="n">
        <v>3</v>
      </c>
      <c r="D20" s="8" t="inlineStr">
        <is>
          <t>waveshare.com</t>
        </is>
      </c>
      <c r="E20" s="9" t="inlineStr">
        <is>
          <t>Waveshare 2.9in e-Paper module</t>
        </is>
      </c>
      <c r="F20" s="6" t="n">
        <v>21.99</v>
      </c>
    </row>
    <row r="21">
      <c r="A21" s="5" t="inlineStr">
        <is>
          <t>Touch sensor</t>
        </is>
      </c>
      <c r="B21" s="6" t="n">
        <v>7.5</v>
      </c>
      <c r="C21" s="7" t="n">
        <v>3</v>
      </c>
      <c r="D21" s="8" t="inlineStr">
        <is>
          <t>adafruit.com</t>
        </is>
      </c>
      <c r="E21" s="9" t="inlineStr">
        <is>
          <t>Adafruit AT42QT1070 5-pad standalone</t>
        </is>
      </c>
      <c r="F21" s="6" t="n">
        <v>7.5</v>
      </c>
    </row>
    <row r="22">
      <c r="A22" s="5" t="inlineStr">
        <is>
          <t>Stylus</t>
        </is>
      </c>
      <c r="B22" s="6" t="n">
        <v>25</v>
      </c>
      <c r="C22" s="7" t="n">
        <v>2</v>
      </c>
      <c r="D22" s="8" t="inlineStr">
        <is>
          <t>waveshare.com</t>
        </is>
      </c>
      <c r="E22" s="9" t="inlineStr">
        <is>
          <t>Waveshare 2.9in capacitive-touch e-Paper</t>
        </is>
      </c>
      <c r="F22" s="6" t="n">
        <v>24.99</v>
      </c>
    </row>
    <row r="23">
      <c r="A23" s="5" t="inlineStr">
        <is>
          <t>3D printing</t>
        </is>
      </c>
      <c r="B23" s="6" t="n">
        <v>8</v>
      </c>
      <c r="C23" s="7" t="n">
        <v>15</v>
      </c>
      <c r="D23" s="8" t="inlineStr">
        <is>
          <t>jlc3dp.com</t>
        </is>
      </c>
      <c r="E23" s="9" t="inlineStr">
        <is>
          <t>3D-printed pendant shells</t>
        </is>
      </c>
      <c r="F23" s="6" t="n"/>
    </row>
    <row r="24">
      <c r="A24" s="5" t="inlineStr">
        <is>
          <t>Metal casting / CNC</t>
        </is>
      </c>
      <c r="B24" s="6" t="n">
        <v>60</v>
      </c>
      <c r="C24" s="7" t="n">
        <v>3</v>
      </c>
      <c r="D24" s="8" t="inlineStr">
        <is>
          <t>jlccnc.com</t>
        </is>
      </c>
      <c r="E24" s="9" t="inlineStr">
        <is>
          <t>CNC aluminum shell samples</t>
        </is>
      </c>
      <c r="F24" s="6" t="n"/>
    </row>
    <row r="25">
      <c r="A25" s="5" t="inlineStr">
        <is>
          <t>Watch band</t>
        </is>
      </c>
      <c r="B25" s="6" t="n">
        <v>12</v>
      </c>
      <c r="C25" s="7" t="n">
        <v>3</v>
      </c>
      <c r="D25" s="10" t="n"/>
      <c r="E25" s="9" t="inlineStr">
        <is>
          <t>Watch-band / strap samples</t>
        </is>
      </c>
      <c r="F25" s="6" t="n"/>
    </row>
    <row r="26">
      <c r="A26" s="5" t="inlineStr">
        <is>
          <t>Necklace</t>
        </is>
      </c>
      <c r="B26" s="6" t="n">
        <v>22</v>
      </c>
      <c r="C26" s="7" t="n">
        <v>1</v>
      </c>
      <c r="D26" s="8" t="inlineStr">
        <is>
          <t>amazon.com</t>
        </is>
      </c>
      <c r="E26" s="9" t="inlineStr">
        <is>
          <t>Necklace cord</t>
        </is>
      </c>
      <c r="F26" s="6" t="n"/>
    </row>
    <row r="27">
      <c r="A27" s="3" t="inlineStr">
        <is>
          <t>Testing</t>
        </is>
      </c>
      <c r="B27" s="4" t="n"/>
      <c r="C27" s="4" t="n"/>
      <c r="D27" s="4" t="n"/>
      <c r="E27" s="4" t="n"/>
      <c r="F27" s="4" t="n"/>
    </row>
    <row r="28">
      <c r="A28" s="5" t="inlineStr">
        <is>
          <t>Breadboard</t>
        </is>
      </c>
      <c r="B28" s="6" t="n">
        <v>5.95</v>
      </c>
      <c r="C28" s="7" t="n">
        <v>3</v>
      </c>
      <c r="D28" s="8" t="inlineStr">
        <is>
          <t>adafruit.com</t>
        </is>
      </c>
      <c r="E28" s="9" t="inlineStr">
        <is>
          <t>Breadboards</t>
        </is>
      </c>
      <c r="F28" s="6" t="n">
        <v>5.95</v>
      </c>
    </row>
    <row r="29">
      <c r="A29" s="5" t="inlineStr">
        <is>
          <t>Jumper wires</t>
        </is>
      </c>
      <c r="B29" s="6" t="n">
        <v>3.95</v>
      </c>
      <c r="C29" s="7" t="n">
        <v>3</v>
      </c>
      <c r="D29" s="8" t="inlineStr">
        <is>
          <t>adafruit.com</t>
        </is>
      </c>
      <c r="E29" s="9" t="inlineStr">
        <is>
          <t>Jumper wires</t>
        </is>
      </c>
      <c r="F29" s="6" t="n">
        <v>3.95</v>
      </c>
    </row>
    <row r="30">
      <c r="A30" s="5" t="inlineStr">
        <is>
          <t>Agentic coding subscriptions</t>
        </is>
      </c>
      <c r="B30" s="6" t="n">
        <v>200</v>
      </c>
      <c r="C30" s="7" t="n">
        <v>8</v>
      </c>
      <c r="D30" s="8" t="inlineStr">
        <is>
          <t>claude.com</t>
        </is>
      </c>
      <c r="E30" s="9" t="inlineStr">
        <is>
          <t>Claude Max 20x</t>
        </is>
      </c>
      <c r="F30" s="6" t="n">
        <v>200</v>
      </c>
    </row>
    <row r="31">
      <c r="A31" s="5" t="inlineStr">
        <is>
          <t>PCB design software</t>
        </is>
      </c>
      <c r="B31" s="6" t="n">
        <v>0</v>
      </c>
      <c r="C31" s="7" t="n">
        <v>1</v>
      </c>
      <c r="D31" s="8" t="inlineStr">
        <is>
          <t>kicad.org</t>
        </is>
      </c>
      <c r="E31" s="9" t="inlineStr">
        <is>
          <t>KiCad</t>
        </is>
      </c>
      <c r="F31" s="6" t="n">
        <v>0</v>
      </c>
    </row>
    <row r="32">
      <c r="A32" s="5" t="inlineStr">
        <is>
          <t>3D CAD software</t>
        </is>
      </c>
      <c r="B32" s="6" t="n">
        <v>0</v>
      </c>
      <c r="C32" s="7" t="n">
        <v>1</v>
      </c>
      <c r="D32" s="8" t="inlineStr">
        <is>
          <t>onshape.com</t>
        </is>
      </c>
      <c r="E32" s="9" t="inlineStr">
        <is>
          <t>Onshape Education</t>
        </is>
      </c>
      <c r="F32" s="6" t="n">
        <v>0</v>
      </c>
    </row>
    <row r="33">
      <c r="A33" s="5" t="inlineStr">
        <is>
          <t>Voice tokens</t>
        </is>
      </c>
      <c r="B33" s="6" t="n">
        <v>0.05</v>
      </c>
      <c r="C33" s="7" t="n">
        <v>5000</v>
      </c>
      <c r="D33" s="8" t="inlineStr">
        <is>
          <t>openai.com</t>
        </is>
      </c>
      <c r="E33" s="9" t="inlineStr">
        <is>
          <t>GPT Live</t>
        </is>
      </c>
      <c r="F33" s="6" t="n">
        <v>0.05</v>
      </c>
    </row>
    <row r="34">
      <c r="A34" s="5" t="inlineStr">
        <is>
          <t>Full prototype units</t>
        </is>
      </c>
      <c r="B34" s="6" t="n">
        <v>350</v>
      </c>
      <c r="C34" s="7" t="n">
        <v>4</v>
      </c>
      <c r="D34" s="8" t="inlineStr">
        <is>
          <t>jlcpcb.com</t>
        </is>
      </c>
      <c r="E34" s="9" t="inlineStr">
        <is>
          <t>Complete unit: PCB + assembly + parts + shell</t>
        </is>
      </c>
      <c r="F34" s="6" t="n"/>
    </row>
    <row r="35">
      <c r="A35" s="3" t="inlineStr">
        <is>
          <t>Tools</t>
        </is>
      </c>
      <c r="B35" s="4" t="n"/>
      <c r="C35" s="4" t="n"/>
      <c r="D35" s="4" t="n"/>
      <c r="E35" s="4" t="n"/>
      <c r="F35" s="4" t="n"/>
    </row>
    <row r="36">
      <c r="A36" s="5" t="inlineStr">
        <is>
          <t>Soldering station</t>
        </is>
      </c>
      <c r="B36" s="6" t="n">
        <v>35.99</v>
      </c>
      <c r="C36" s="7" t="n">
        <v>2</v>
      </c>
      <c r="D36" s="8" t="inlineStr">
        <is>
          <t>pine64.com</t>
        </is>
      </c>
      <c r="E36" s="9" t="inlineStr">
        <is>
          <t>Pinecil V2 soldering iron</t>
        </is>
      </c>
      <c r="F36" s="6" t="n">
        <v>35.99</v>
      </c>
    </row>
    <row r="37">
      <c r="A37" s="5" t="inlineStr">
        <is>
          <t>Magnifier</t>
        </is>
      </c>
      <c r="B37" s="6" t="n">
        <v>210</v>
      </c>
      <c r="C37" s="7" t="n">
        <v>1</v>
      </c>
      <c r="D37" s="8" t="inlineStr">
        <is>
          <t>andonstar.com</t>
        </is>
      </c>
      <c r="E37" s="9" t="inlineStr">
        <is>
          <t>Stereo/digital soldering microscope</t>
        </is>
      </c>
      <c r="F37" s="6" t="n"/>
    </row>
    <row r="38">
      <c r="A38" s="5" t="inlineStr">
        <is>
          <t>Clamp</t>
        </is>
      </c>
      <c r="B38" s="6" t="n">
        <v>6.95</v>
      </c>
      <c r="C38" s="7" t="n">
        <v>2</v>
      </c>
      <c r="D38" s="8" t="inlineStr">
        <is>
          <t>adafruit.com</t>
        </is>
      </c>
      <c r="E38" s="9" t="inlineStr">
        <is>
          <t>Helping hands with 4x magnifier / PCB holder</t>
        </is>
      </c>
      <c r="F38" s="6" t="n">
        <v>6.95</v>
      </c>
    </row>
    <row r="40">
      <c r="A40" s="11" t="inlineStr">
        <is>
          <t>Total (Actual where verified, else Estimate)</t>
        </is>
      </c>
      <c r="B40" s="12">
        <f>SUMPRODUCT(C2:C38,B2:B38)+SUMPRODUCT(C2:C38,(F2:F38&lt;&gt;"")*(F2:F38-B2:B38))</f>
        <v/>
      </c>
      <c r="C40" s="13" t="n"/>
      <c r="D40" s="13" t="n"/>
      <c r="E40" s="13" t="n"/>
      <c r="F40" s="13" t="n"/>
    </row>
  </sheetData>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6"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E18"/>
  <sheetViews>
    <sheetView showGridLines="0" workbookViewId="0">
      <pane ySplit="1" topLeftCell="A2" activePane="bottomLeft" state="frozen"/>
      <selection pane="bottomLeft" activeCell="A1" sqref="A1"/>
    </sheetView>
  </sheetViews>
  <sheetFormatPr baseColWidth="8" defaultRowHeight="15"/>
  <cols>
    <col width="50" customWidth="1" min="1" max="1"/>
    <col width="13" customWidth="1" min="2" max="2"/>
    <col width="11" customWidth="1" min="3" max="3"/>
    <col width="14" customWidth="1" min="4" max="4"/>
    <col width="64" customWidth="1" min="5" max="5"/>
  </cols>
  <sheetData>
    <row r="1" ht="26" customHeight="1">
      <c r="A1" s="14" t="inlineStr">
        <is>
          <t>Item</t>
        </is>
      </c>
      <c r="B1" s="15" t="inlineStr">
        <is>
          <t>Unit Cost</t>
        </is>
      </c>
      <c r="C1" s="15" t="inlineStr">
        <is>
          <t>Quantity</t>
        </is>
      </c>
      <c r="D1" s="15" t="inlineStr">
        <is>
          <t>Total</t>
        </is>
      </c>
      <c r="E1" s="14" t="inlineStr">
        <is>
          <t>Notes</t>
        </is>
      </c>
    </row>
    <row r="2">
      <c r="A2" s="5" t="inlineStr">
        <is>
          <t>Board starts</t>
        </is>
      </c>
      <c r="C2" s="16" t="n">
        <v>36</v>
      </c>
      <c r="E2" s="17" t="inlineStr">
        <is>
          <t>30 accepted + 6 spare for yield</t>
        </is>
      </c>
    </row>
    <row r="3">
      <c r="A3" s="5" t="inlineStr">
        <is>
          <t>Accepted devices</t>
        </is>
      </c>
      <c r="C3" s="16" t="n">
        <v>30</v>
      </c>
      <c r="E3" s="17" t="inlineStr"/>
    </row>
    <row r="4">
      <c r="A4" s="5" t="inlineStr">
        <is>
          <t>Target cost per device</t>
        </is>
      </c>
      <c r="B4" s="6" t="n">
        <v>200</v>
      </c>
      <c r="E4" s="17" t="inlineStr"/>
    </row>
    <row r="6">
      <c r="A6" s="5" t="inlineStr">
        <is>
          <t>PCB manufacturing (4-layer, JLCPCB)</t>
        </is>
      </c>
      <c r="B6" s="6" t="n">
        <v>4.17</v>
      </c>
      <c r="C6" s="18">
        <f>$C$2</f>
        <v/>
      </c>
      <c r="D6" s="19">
        <f>B6*C6</f>
        <v/>
      </c>
      <c r="E6" s="17" t="inlineStr">
        <is>
          <t>Derived, not quoted</t>
        </is>
      </c>
    </row>
    <row r="7">
      <c r="A7" s="5" t="inlineStr">
        <is>
          <t>Component placement + soldering (PCBA)</t>
        </is>
      </c>
      <c r="B7" s="6" t="n">
        <v>250</v>
      </c>
      <c r="C7" s="16" t="n">
        <v>1</v>
      </c>
      <c r="D7" s="19">
        <f>B7*C7</f>
        <v/>
      </c>
      <c r="E7" s="17" t="inlineStr">
        <is>
          <t>Setup, stencil, feeders, X-ray; not quoted</t>
        </is>
      </c>
    </row>
    <row r="8">
      <c r="A8" s="5" t="inlineStr">
        <is>
          <t>Components per device</t>
        </is>
      </c>
      <c r="B8" s="19">
        <f>3.5*1+3.17*1+1.81*1+6.58*1+1.38*1+5.64*1+3.22*2+2.56*1+4.46*1+1.21*1+1.64*1+0.699*1+2.5*1+0.3*3+5.81*1+4.49*1+17.92*1+9</f>
        <v/>
      </c>
      <c r="C8" s="18">
        <f>$C$2</f>
        <v/>
      </c>
      <c r="D8" s="19">
        <f>B8*C8</f>
        <v/>
      </c>
      <c r="E8" s="17" t="inlineStr">
        <is>
          <t>Core bare chips at qty-100 + $9 passives allowance</t>
        </is>
      </c>
    </row>
    <row r="9">
      <c r="A9" s="5" t="inlineStr">
        <is>
          <t>Enclosure (MJF nylon 2-part shell)</t>
        </is>
      </c>
      <c r="B9" s="6" t="n">
        <v>6</v>
      </c>
      <c r="C9" s="18">
        <f>$C$2</f>
        <v/>
      </c>
      <c r="D9" s="19">
        <f>B9*C9</f>
        <v/>
      </c>
      <c r="E9" s="17" t="inlineStr">
        <is>
          <t>CNC aluminum would break the target</t>
        </is>
      </c>
    </row>
    <row r="10">
      <c r="A10" s="5" t="inlineStr">
        <is>
          <t>Band / necklace</t>
        </is>
      </c>
      <c r="B10" s="6" t="n">
        <v>2.5</v>
      </c>
      <c r="C10" s="18">
        <f>$C$2</f>
        <v/>
      </c>
      <c r="D10" s="19">
        <f>B10*C10</f>
        <v/>
      </c>
      <c r="E10" s="17" t="inlineStr">
        <is>
          <t>Cord with breakaway clasp</t>
        </is>
      </c>
    </row>
    <row r="11">
      <c r="A11" s="5" t="inlineStr">
        <is>
          <t>Charging cable (magnetic pogo)</t>
        </is>
      </c>
      <c r="B11" s="6" t="n">
        <v>4.46</v>
      </c>
      <c r="C11" s="18">
        <f>$C$2</f>
        <v/>
      </c>
      <c r="D11" s="19">
        <f>B11*C11</f>
        <v/>
      </c>
      <c r="E11" s="17" t="inlineStr">
        <is>
          <t>$4.46 at 10+ (Adafruit)</t>
        </is>
      </c>
    </row>
    <row r="12">
      <c r="A12" s="5" t="inlineStr">
        <is>
          <t>Packaging</t>
        </is>
      </c>
      <c r="B12" s="6" t="n">
        <v>2.5</v>
      </c>
      <c r="C12" s="18">
        <f>$C$2</f>
        <v/>
      </c>
      <c r="D12" s="19">
        <f>B12*C12</f>
        <v/>
      </c>
      <c r="E12" s="17" t="inlineStr">
        <is>
          <t>Box, foam, card</t>
        </is>
      </c>
    </row>
    <row r="13">
      <c r="A13" s="5" t="inlineStr">
        <is>
          <t>Shipping / tariffs</t>
        </is>
      </c>
      <c r="B13" s="6" t="n">
        <v>250</v>
      </c>
      <c r="C13" s="16" t="n">
        <v>1</v>
      </c>
      <c r="D13" s="19">
        <f>B13*C13</f>
        <v/>
      </c>
      <c r="E13" s="17" t="inlineStr">
        <is>
          <t>JLCPCB DHL + US DDP tariff, DigiKey freight</t>
        </is>
      </c>
    </row>
    <row r="14">
      <c r="A14" s="5" t="inlineStr">
        <is>
          <t>SIM + data plan, magnet, test fixture</t>
        </is>
      </c>
      <c r="B14" s="19">
        <f>1*$C$2+14*$C$3+1.5*$C$2+100</f>
        <v/>
      </c>
      <c r="C14" s="16" t="n">
        <v>1</v>
      </c>
      <c r="D14" s="19">
        <f>B14*C14</f>
        <v/>
      </c>
      <c r="E14" s="17" t="inlineStr">
        <is>
          <t>1NCE $1 SIM x starts + $14 plan x accepted; magnet; pogo jig</t>
        </is>
      </c>
    </row>
    <row r="15">
      <c r="A15" s="20" t="inlineStr">
        <is>
          <t>Subtotal</t>
        </is>
      </c>
      <c r="B15" s="21" t="n"/>
      <c r="C15" s="21" t="n"/>
      <c r="D15" s="22">
        <f>SUM(D6:D14)</f>
        <v/>
      </c>
      <c r="E15" s="21" t="n"/>
    </row>
    <row r="16">
      <c r="A16" s="5" t="inlineStr">
        <is>
          <t>Contingency</t>
        </is>
      </c>
      <c r="B16" s="23" t="n">
        <v>0.05</v>
      </c>
      <c r="D16" s="19">
        <f>B16*D15</f>
        <v/>
      </c>
      <c r="E16" s="24" t="inlineStr">
        <is>
          <t>Of subtotal</t>
        </is>
      </c>
    </row>
    <row r="17">
      <c r="A17" s="11" t="inlineStr">
        <is>
          <t>Total</t>
        </is>
      </c>
      <c r="B17" s="13" t="n"/>
      <c r="C17" s="13" t="n"/>
      <c r="D17" s="12">
        <f>D15+D16</f>
        <v/>
      </c>
      <c r="E17" s="13" t="n"/>
    </row>
    <row r="18">
      <c r="A18" s="25" t="inlineStr">
        <is>
          <t>Cost per device</t>
        </is>
      </c>
      <c r="B18" s="21" t="n"/>
      <c r="C18" s="21" t="n"/>
      <c r="D18" s="26">
        <f>D17/$C$3</f>
        <v/>
      </c>
      <c r="E18" s="27">
        <f>IF(D18&lt;=B4,"✓ Under the $"&amp;TEXT(B4,"0")&amp;" target","✗ Over the $"&amp;TEXT(B4,"0")&amp;" target")</f>
        <v/>
      </c>
    </row>
  </sheetData>
  <hyperlinks>
    <hyperlink xmlns:r="http://schemas.openxmlformats.org/officeDocument/2006/relationships" ref="A6" r:id="rId1"/>
    <hyperlink xmlns:r="http://schemas.openxmlformats.org/officeDocument/2006/relationships" ref="A7" r:id="rId2"/>
    <hyperlink xmlns:r="http://schemas.openxmlformats.org/officeDocument/2006/relationships" ref="A9" r:id="rId3"/>
    <hyperlink xmlns:r="http://schemas.openxmlformats.org/officeDocument/2006/relationships" ref="A11" r:id="rId4"/>
    <hyperlink xmlns:r="http://schemas.openxmlformats.org/officeDocument/2006/relationships" ref="A13" r:id="rId5"/>
  </hyperlinks>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2026-09-29T12:17:32Z</dcterms:created>
  <dcterms:modified xsi:type="dcterms:W3CDTF">2026-09-29T12:17:32Z</dcterms:modified>
</cp:coreProperties>
</file>