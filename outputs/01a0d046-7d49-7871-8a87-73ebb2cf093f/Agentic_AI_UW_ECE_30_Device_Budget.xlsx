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ac80820ce449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dget" sheetId="1" r:id="R5ee7b87cc6a0417c"/>
    <x:sheet xmlns:r="http://schemas.openxmlformats.org/officeDocument/2006/relationships" name="Manufacturing" sheetId="2" r:id="Rabf97f97d5ac46a7"/>
    <x:sheet xmlns:r="http://schemas.openxmlformats.org/officeDocument/2006/relationships" name="Parts" sheetId="3" r:id="Rc5c5770c26cf4d50"/>
    <x:sheet xmlns:r="http://schemas.openxmlformats.org/officeDocument/2006/relationships" name="Purchases" sheetId="4" r:id="Rb590237beb184f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$#,##0.00;($#,##0.00);&quot;—&quot;"/>
    <x:numFmt numFmtId="201" formatCode="$#,##0;($#,##0);&quot;—&quot;"/>
    <x:numFmt numFmtId="202" formatCode="#,##0.0;(#,##0.0);&quot;—&quot;"/>
    <x:numFmt numFmtId="203" formatCode="0.0%"/>
    <x:numFmt numFmtId="204" formatCode="0.00"/>
    <x:numFmt numFmtId="205" formatCode="  @"/>
    <x:numFmt numFmtId="206" formatCode="mmm d, yyyy"/>
  </x:numFmts>
  <x:fonts count="10">
    <x:font>
      <x:sz val="11"/>
      <x:name val="Carlito"/>
    </x:font>
    <x:font>
      <x:sz val="10"/>
      <x:color rgb="FF172B3A"/>
      <x:name val="Arial"/>
    </x:font>
    <x:font>
      <x:b/>
      <x:sz val="16"/>
      <x:color rgb="FF233E52"/>
      <x:name val="Arial"/>
    </x:font>
    <x:font>
      <x:sz val="10"/>
      <x:color rgb="FF536773"/>
      <x:name val="Arial"/>
    </x:font>
    <x:font>
      <x:b/>
      <x:sz val="10"/>
      <x:color rgb="FFFFFFFF"/>
      <x:name val="Arial"/>
    </x:font>
    <x:font>
      <x:sz val="10"/>
      <x:color rgb="FF267044"/>
      <x:name val="Arial"/>
    </x:font>
    <x:font>
      <x:b/>
      <x:sz val="10"/>
      <x:color rgb="FF172B3A"/>
      <x:name val="Arial"/>
    </x:font>
    <x:font>
      <x:b/>
      <x:sz val="16"/>
      <x:color rgb="FF172B3A"/>
      <x:name val="Arial"/>
    </x:font>
    <x:font>
      <x:b/>
      <x:sz val="10"/>
      <x:color rgb="FF233E52"/>
      <x:name val="Arial"/>
    </x:font>
    <x:font>
      <x:sz val="10"/>
      <x:color rgb="FF145CAA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33E52"/>
      </x:patternFill>
    </x:fill>
    <x:fill>
      <x:patternFill patternType="solid">
        <x:fgColor rgb="FFEDF2F5"/>
      </x:patternFill>
    </x:fill>
    <x:fill>
      <x:patternFill patternType="solid">
        <x:fgColor rgb="FFFFF3D1"/>
      </x:patternFill>
    </x:fill>
  </x:fills>
  <x:borders count="2">
    <x:border/>
    <x:border>
      <x:top style="thin">
        <x:color rgb="FFA5B5C0"/>
      </x:top>
    </x:border>
  </x:borders>
  <x:cellStyleXfs count="1">
    <x:xf numFmtId="0" fontId="0" fillId="0" borderId="0"/>
  </x:cellStyleXfs>
  <x:cellXfs count="5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  <x:xf numFmtId="0" fontId="6" fillId="0" borderId="1" xfId="0" applyNumberFormat="1" applyFont="1" applyFill="1" applyBorder="1" applyAlignment="1">
      <x:alignment vertical="center"/>
    </x:xf>
    <x:xf numFmtId="200" fontId="6" fillId="0" borderId="1" xfId="0" applyNumberFormat="1" applyFont="1" applyFill="1" applyBorder="1" applyAlignment="1">
      <x:alignment vertical="center"/>
    </x:xf>
    <x:xf numFmtId="201" fontId="6" fillId="0" borderId="0" xfId="0" applyNumberFormat="1" applyFont="1" applyFill="1" applyBorder="1" applyAlignment="1">
      <x:alignment vertical="center"/>
    </x:xf>
    <x:xf numFmtId="201" fontId="6" fillId="0" borderId="1" xfId="0" applyNumberFormat="1" applyFont="1" applyFill="1" applyBorder="1" applyAlignment="1">
      <x:alignment vertical="center"/>
    </x:xf>
    <x:xf numFmtId="0" fontId="6" fillId="3" borderId="1" xfId="0" applyNumberFormat="1" applyFont="1" applyFill="1" applyBorder="1" applyAlignment="1">
      <x:alignment vertical="center"/>
    </x:xf>
    <x:xf numFmtId="201" fontId="6" fillId="3" borderId="1" xfId="0" applyNumberFormat="1" applyFont="1" applyFill="1" applyBorder="1" applyAlignment="1">
      <x:alignment vertical="center"/>
    </x:xf>
    <x:xf numFmtId="201" fontId="7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9" fillId="4" borderId="0" xfId="0" applyNumberFormat="1" applyFont="1" applyFill="1" applyBorder="1" applyAlignment="1">
      <x:alignment vertical="center"/>
    </x:xf>
    <x:xf numFmtId="203" fontId="9" fillId="4" borderId="0" xfId="0" applyNumberFormat="1" applyFont="1" applyFill="1" applyBorder="1" applyAlignment="1">
      <x:alignment vertical="center"/>
    </x:xf>
    <x:xf numFmtId="201" fontId="9" fillId="4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2" fontId="9" fillId="4" borderId="0" xfId="0" applyNumberFormat="1" applyFont="1" applyFill="1" applyBorder="1" applyAlignment="1">
      <x:alignment vertical="center"/>
    </x:xf>
    <x:xf numFmtId="202" fontId="6" fillId="0" borderId="1" xfId="0" applyNumberFormat="1" applyFont="1" applyFill="1" applyBorder="1" applyAlignment="1">
      <x:alignment vertical="center"/>
    </x:xf>
    <x:xf numFmtId="204" fontId="9" fillId="4" borderId="0" xfId="0" applyNumberFormat="1" applyFont="1" applyFill="1" applyBorder="1" applyAlignment="1">
      <x:alignment vertical="center"/>
    </x:xf>
    <x:xf numFmtId="200" fontId="9" fillId="4" borderId="0" xfId="0" applyNumberFormat="1" applyFont="1" applyFill="1" applyBorder="1" applyAlignment="1">
      <x:alignment vertical="center"/>
    </x:xf>
    <x:xf numFmtId="0" fontId="9" fillId="4" borderId="0" xfId="0" applyNumberFormat="1" applyFont="1" applyFill="1" applyBorder="1" applyAlignment="1">
      <x:alignment vertical="center" wrapText="1"/>
    </x:xf>
    <x:xf numFmtId="200" fontId="9" fillId="4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5" fontId="1" fillId="0" borderId="0" xfId="0" applyNumberFormat="1" applyFont="1" applyFill="1" applyBorder="1" applyAlignment="1">
      <x:alignment vertical="center" wrapText="1"/>
    </x:xf>
    <x:xf numFmtId="200" fontId="8" fillId="3" borderId="0" xfId="0" applyNumberFormat="1" applyFont="1" applyFill="1" applyBorder="1" applyAlignment="1">
      <x:alignment vertical="center"/>
    </x:xf>
    <x:xf numFmtId="0" fontId="6" fillId="0" borderId="1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/>
    </x:xf>
    <x:xf numFmtId="0" fontId="6" fillId="0" borderId="1" xfId="0" applyNumberFormat="1" applyFont="1" applyFill="1" applyBorder="1" applyAlignment="1">
      <x:alignment horizontal="center" vertical="center"/>
    </x:xf>
    <x:xf numFmtId="0" fontId="8" fillId="3" borderId="0" xfId="0" applyNumberFormat="1" applyFont="1" applyFill="1" applyBorder="1" applyAlignment="1">
      <x:alignment horizontal="center" vertical="center"/>
    </x:xf>
    <x:xf numFmtId="206" fontId="1" fillId="0" borderId="0" xfId="0" applyNumberFormat="1" applyFont="1" applyFill="1" applyBorder="1" applyAlignment="1">
      <x:alignment vertical="center"/>
    </x:xf>
    <x:xf numFmtId="206" fontId="6" fillId="0" borderId="1" xfId="0" applyNumberFormat="1" applyFont="1" applyFill="1" applyBorder="1" applyAlignment="1">
      <x:alignment vertical="center"/>
    </x:xf>
    <x:xf numFmtId="206" fontId="8" fillId="3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 wrapText="1"/>
    </x:xf>
    <x:xf numFmtId="206" fontId="6" fillId="0" borderId="1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center" wrapText="1"/>
    </x:xf>
    <x:xf numFmtId="206" fontId="8" fillId="3" borderId="0" xfId="0" applyNumberFormat="1" applyFont="1" applyFill="1" applyBorder="1" applyAlignment="1">
      <x:alignment vertical="center" wrapText="1"/>
    </x:xf>
    <x:xf numFmtId="200" fontId="8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b5e0c1670346f9" /><Relationship Type="http://schemas.openxmlformats.org/officeDocument/2006/relationships/theme" Target="/xl/theme/theme1.xml" Id="R263d288cf15d41d0" /><Relationship Type="http://schemas.openxmlformats.org/officeDocument/2006/relationships/sharedStrings" Target="/xl/sharedStrings.xml" Id="R8f7ca01b0127473c" /><Relationship Type="http://schemas.openxmlformats.org/officeDocument/2006/relationships/worksheet" Target="/xl/worksheets/sheet1.xml" Id="R5ee7b87cc6a0417c" /><Relationship Type="http://schemas.openxmlformats.org/officeDocument/2006/relationships/worksheet" Target="/xl/worksheets/sheet2.xml" Id="Rabf97f97d5ac46a7" /><Relationship Type="http://schemas.openxmlformats.org/officeDocument/2006/relationships/worksheet" Target="/xl/worksheets/sheet3.xml" Id="Rc5c5770c26cf4d50" /><Relationship Type="http://schemas.openxmlformats.org/officeDocument/2006/relationships/worksheet" Target="/xl/worksheets/sheet4.xml" Id="Rb590237beb184f5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33E52"/>
  </x:sheetPr>
  <x:sheetViews>
    <x:sheetView showGridLines="0" workbookViewId="0"/>
  </x:sheetViews>
  <x:sheetFormatPr defaultRowHeight="15"/>
  <x:cols>
    <x:col min="1" max="1" width="3" hidden="0" customWidth="1"/>
    <x:col min="2" max="2" width="51" hidden="0" customWidth="1"/>
    <x:col min="3" max="3" width="18" hidden="0" customWidth="1"/>
    <x:col min="4" max="4" width="3" hidden="0" customWidth="1"/>
    <x:col min="5" max="5" width="87" hidden="0" customWidth="1"/>
    <x:col min="6" max="6" width="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4" customHeight="1">
      <x:c r="A2" s="2"/>
      <x:c r="B2" s="3" t="str">
        <x:v>Agentic AI UW | 30-device development budget</x:v>
      </x:c>
      <x:c r="C2" s="2"/>
      <x:c r="D2" s="2"/>
      <x:c r="E2" s="2"/>
      <x:c r="F2" s="2"/>
      <x:c r="G2" s="2"/>
      <x:c r="H2" s="2"/>
      <x:c r="I2" s="2"/>
      <x:c r="J2" s="2"/>
    </x:row>
    <x:row r="3" ht="24" customHeight="1">
      <x:c r="A3" s="2"/>
      <x:c r="B3" s="4" t="str">
        <x:v>Funding request to UW–Madison ECE · September 23, 2026 · USD</x:v>
      </x:c>
      <x:c r="C3" s="2"/>
      <x:c r="D3" s="2"/>
      <x:c r="E3" s="2"/>
      <x:c r="F3" s="2"/>
      <x:c r="G3" s="2"/>
      <x:c r="H3" s="2"/>
      <x:c r="I3" s="2"/>
      <x:c r="J3" s="2"/>
    </x:row>
    <x:row r="4" ht="24" customHeight="1">
      <x:c r="A4" s="2"/>
      <x:c r="B4" s="2" t="str">
        <x:v>Student-led wearable research and manufacturing pilot</x:v>
      </x:c>
      <x:c r="C4" s="2"/>
      <x:c r="D4" s="2"/>
      <x:c r="E4" s="2"/>
      <x:c r="F4" s="2"/>
      <x:c r="G4" s="2"/>
      <x:c r="H4" s="2"/>
      <x:c r="I4" s="2"/>
      <x:c r="J4" s="2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30" customHeight="1">
      <x:c r="A6" s="2"/>
      <x:c r="B6" s="8" t="str">
        <x:v>Cash budget</x:v>
      </x:c>
      <x:c r="C6" s="8" t="str">
        <x:v>Amount</x:v>
      </x:c>
      <x:c r="D6" s="2"/>
      <x:c r="E6" s="2"/>
      <x:c r="F6" s="2"/>
      <x:c r="G6" s="2"/>
      <x:c r="H6" s="2"/>
      <x:c r="I6" s="2"/>
      <x:c r="J6" s="2"/>
    </x:row>
    <x:row r="7" ht="35" customHeight="1">
      <x:c r="A7" s="2"/>
      <x:c r="B7" s="2" t="str">
        <x:v>Final pilot manufacturing</x:v>
      </x:c>
      <x:c r="C7" s="11" t="n">
        <x:f>'Manufacturing'!F18</x:f>
        <x:v>6049</x:v>
      </x:c>
      <x:c r="D7" s="2"/>
      <x:c r="E7" s="14" t="str">
        <x:v>Includes extra assembly starts; student final assembly has no wage charge.</x:v>
      </x:c>
      <x:c r="F7" s="2"/>
      <x:c r="G7" s="2"/>
      <x:c r="H7" s="2"/>
      <x:c r="I7" s="2"/>
      <x:c r="J7" s="2"/>
    </x:row>
    <x:row r="8" ht="27" customHeight="1">
      <x:c r="A8" s="2"/>
      <x:c r="B8" s="2" t="str">
        <x:v>Development and prototype revisions</x:v>
      </x:c>
      <x:c r="C8" s="11" t="n">
        <x:f>'Manufacturing'!F34</x:f>
        <x:v>3499</x:v>
      </x:c>
      <x:c r="D8" s="2"/>
      <x:c r="E8" s="14" t="str">
        <x:v>Two small engineering runs, test materials and outside engineering review.</x:v>
      </x:c>
      <x:c r="F8" s="2"/>
      <x:c r="G8" s="2"/>
      <x:c r="H8" s="2"/>
      <x:c r="I8" s="2"/>
      <x:c r="J8" s="2"/>
    </x:row>
    <x:row r="9" ht="27" customHeight="1">
      <x:c r="A9" s="2"/>
      <x:c r="B9" s="2" t="str">
        <x:v>Campus access fees</x:v>
      </x:c>
      <x:c r="C9" s="11" t="n">
        <x:f>'Manufacturing'!F38</x:f>
        <x:v>0</x:v>
      </x:c>
      <x:c r="D9" s="2"/>
      <x:c r="E9" s="14" t="str">
        <x:v>Base assumes eligible access; edit the number of paid passes below.</x:v>
      </x:c>
      <x:c r="F9" s="2"/>
      <x:c r="G9" s="2"/>
      <x:c r="H9" s="2"/>
      <x:c r="I9" s="2"/>
      <x:c r="J9" s="2"/>
    </x:row>
    <x:row r="10" ht="27" customHeight="1">
      <x:c r="A10" s="2"/>
      <x:c r="B10" s="17" t="str">
        <x:v>New spending before contingency</x:v>
      </x:c>
      <x:c r="C10" s="18" t="n">
        <x:f>SUM(C7:C9)</x:f>
        <x:v>9548</x:v>
      </x:c>
      <x:c r="D10" s="2"/>
      <x:c r="E10" s="14" t="str"/>
      <x:c r="F10" s="2"/>
      <x:c r="G10" s="2"/>
      <x:c r="H10" s="2"/>
      <x:c r="I10" s="2"/>
      <x:c r="J10" s="2"/>
    </x:row>
    <x:row r="11" ht="35" customHeight="1">
      <x:c r="A11" s="2"/>
      <x:c r="B11" s="2" t="str">
        <x:v>Contingency reserve</x:v>
      </x:c>
      <x:c r="C11" s="11" t="n">
        <x:f>IF(COUNT(C31)&lt;&gt;1,NA(),C10*C31)</x:f>
        <x:v>1909.6000000000001</x:v>
      </x:c>
      <x:c r="D11" s="2"/>
      <x:c r="E11" s="14" t="str">
        <x:v>20% planning reserve for quote changes and rework beyond the spare starts.</x:v>
      </x:c>
      <x:c r="F11" s="2"/>
      <x:c r="G11" s="2"/>
      <x:c r="H11" s="2"/>
      <x:c r="I11" s="2"/>
      <x:c r="J11" s="2"/>
    </x:row>
    <x:row r="12" ht="27" customHeight="1">
      <x:c r="A12" s="2"/>
      <x:c r="B12" s="17" t="str">
        <x:v>New funding requirement</x:v>
      </x:c>
      <x:c r="C12" s="18" t="n">
        <x:f>SUM(C10:C11)</x:f>
        <x:v>11457.6</x:v>
      </x:c>
      <x:c r="D12" s="2"/>
      <x:c r="E12" s="14" t="str">
        <x:v>Excludes prior purchases and volunteer wages.</x:v>
      </x:c>
      <x:c r="F12" s="2"/>
      <x:c r="G12" s="2"/>
      <x:c r="H12" s="2"/>
      <x:c r="I12" s="2"/>
      <x:c r="J12" s="2"/>
    </x:row>
    <x:row r="13" ht="35" customHeight="1">
      <x:c r="A13" s="2"/>
      <x:c r="B13" s="21" t="str">
        <x:v>ECE request, rounded up</x:v>
      </x:c>
      <x:c r="C13" s="23" t="n">
        <x:f>IF(OR(COUNT(C32)&lt;&gt;1,C32&lt;=0),NA(),ROUNDUP((C12+C15)/C32,0)*C32)</x:f>
        <x:v>11500</x:v>
      </x:c>
      <x:c r="D13" s="2"/>
      <x:c r="E13" s="14" t="str">
        <x:v>Rounded to the funding increment below; includes reimbursement only if selected.</x:v>
      </x:c>
      <x:c r="F13" s="2"/>
      <x:c r="G13" s="2"/>
      <x:c r="H13" s="2"/>
      <x:c r="I13" s="2"/>
      <x:c r="J13" s="2"/>
    </x:row>
    <x:row r="14" ht="27" customHeight="1">
      <x:c r="A14" s="2"/>
      <x:c r="B14" s="2"/>
      <x:c r="C14" s="11"/>
      <x:c r="D14" s="2"/>
      <x:c r="E14" s="14"/>
      <x:c r="F14" s="2"/>
      <x:c r="G14" s="2"/>
      <x:c r="H14" s="2"/>
      <x:c r="I14" s="2"/>
      <x:c r="J14" s="2"/>
    </x:row>
    <x:row r="15" ht="27" customHeight="1">
      <x:c r="A15" s="2"/>
      <x:c r="B15" s="2" t="str">
        <x:v>Prior-purchase reimbursement requested</x:v>
      </x:c>
      <x:c r="C15" s="11" t="n">
        <x:f>IF(COUNT(C33)&lt;&gt;1,NA(),'Purchases'!F36*C33)</x:f>
        <x:v>0</x:v>
      </x:c>
      <x:c r="D15" s="2"/>
      <x:c r="E15" s="14" t="str">
        <x:v>Default is no reimbursement. Prior spending is documented separately.</x:v>
      </x:c>
      <x:c r="F15" s="2"/>
      <x:c r="G15" s="2"/>
      <x:c r="H15" s="2"/>
      <x:c r="I15" s="2"/>
      <x:c r="J15" s="2"/>
    </x:row>
    <x:row r="16" ht="35" customHeight="1">
      <x:c r="A16" s="2"/>
      <x:c r="B16" s="2" t="str">
        <x:v>Documented prior prototype spending</x:v>
      </x:c>
      <x:c r="C16" s="11" t="n">
        <x:f>'Purchases'!F36</x:f>
        <x:v>331.6</x:v>
      </x:c>
      <x:c r="D16" s="2"/>
      <x:c r="E16" s="14" t="str">
        <x:v>Personal development spending; contribution/ownership transfer not assumed.</x:v>
      </x:c>
      <x:c r="F16" s="2"/>
      <x:c r="G16" s="2"/>
      <x:c r="H16" s="2"/>
      <x:c r="I16" s="2"/>
      <x:c r="J16" s="2"/>
    </x:row>
    <x:row r="17" ht="27" customHeight="1">
      <x:c r="A17" s="2"/>
      <x:c r="B17" s="2"/>
      <x:c r="C17" s="11"/>
      <x:c r="D17" s="2"/>
      <x:c r="E17" s="14"/>
      <x:c r="F17" s="2"/>
      <x:c r="G17" s="2"/>
      <x:c r="H17" s="2"/>
      <x:c r="I17" s="2"/>
      <x:c r="J17" s="2"/>
    </x:row>
    <x:row r="18" ht="35" customHeight="1">
      <x:c r="A18" s="2"/>
      <x:c r="B18" s="2" t="str">
        <x:v>Manufacturing cost per accepted device</x:v>
      </x:c>
      <x:c r="C18" s="11" t="n">
        <x:f>IF(OR(COUNT(C25)&lt;&gt;1,C25&lt;=0),NA(),C7/C25)</x:f>
        <x:v>201.63333333333333</x:v>
      </x:c>
      <x:c r="D18" s="2"/>
      <x:c r="E18" s="14" t="str">
        <x:v>Final batch only, including batch setup and fixture; excludes development/reserve.</x:v>
      </x:c>
      <x:c r="F18" s="2"/>
      <x:c r="G18" s="2"/>
      <x:c r="H18" s="2"/>
      <x:c r="I18" s="2"/>
      <x:c r="J18" s="2"/>
    </x:row>
    <x:row r="19" ht="35" customHeight="1">
      <x:c r="A19" s="2"/>
      <x:c r="B19" s="2" t="str">
        <x:v>New program cost per accepted device</x:v>
      </x:c>
      <x:c r="C19" s="11" t="n">
        <x:f>IF(OR(COUNT(C25)&lt;&gt;1,C25&lt;=0),NA(),C12/C25)</x:f>
        <x:v>381.92</x:v>
      </x:c>
      <x:c r="D19" s="2"/>
      <x:c r="E19" s="14" t="str">
        <x:v>Includes development and contingency; not a recurring unit production price.</x:v>
      </x:c>
      <x:c r="F19" s="2"/>
      <x:c r="G19" s="2"/>
      <x:c r="H19" s="2"/>
      <x:c r="I19" s="2"/>
      <x:c r="J19" s="2"/>
    </x:row>
    <x:row r="20" ht="35" customHeight="1">
      <x:c r="A20" s="2"/>
      <x:c r="B20" s="2" t="str">
        <x:v>Estimated volunteer contribution (hours)</x:v>
      </x:c>
      <x:c r="C20" s="13" t="n">
        <x:f>C49</x:f>
        <x:v>627</x:v>
      </x:c>
      <x:c r="D20" s="2"/>
      <x:c r="E20" s="14" t="str">
        <x:v>Planning workload, not confirmed member commitments; no wages requested.</x:v>
      </x:c>
      <x:c r="F20" s="2"/>
      <x:c r="G20" s="2"/>
      <x:c r="H20" s="2"/>
      <x:c r="I20" s="2"/>
      <x:c r="J20" s="2"/>
    </x:row>
    <x:row r="21" ht="24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</x:row>
    <x:row r="22" ht="24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</x:row>
    <x:row r="23" ht="28" customHeight="1">
      <x:c r="A23" s="2"/>
      <x:c r="B23" s="25" t="str">
        <x:v>Editable planning assumptions</x:v>
      </x:c>
      <x:c r="C23" s="25"/>
      <x:c r="D23" s="2"/>
      <x:c r="E23" s="2" t="str">
        <x:v>Amber cells are editable. Formulas update costs and quantities.</x:v>
      </x:c>
      <x:c r="F23" s="2"/>
      <x:c r="G23" s="2"/>
      <x:c r="H23" s="2"/>
      <x:c r="I23" s="2"/>
      <x:c r="J23" s="2"/>
    </x:row>
    <x:row r="24" ht="24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</x:row>
    <x:row r="25" ht="32" customHeight="1">
      <x:c r="A25" s="2"/>
      <x:c r="B25" s="2" t="str">
        <x:v>Accepted devices</x:v>
      </x:c>
      <x:c r="C25" s="27" t="n">
        <x:v>30</x:v>
      </x:c>
      <x:c r="D25" s="2"/>
      <x:c r="E25" s="30" t="str">
        <x:v>Usable devices delivered to the club.</x:v>
      </x:c>
      <x:c r="F25" s="2"/>
      <x:c r="G25" s="2"/>
      <x:c r="H25" s="2"/>
      <x:c r="I25" s="2"/>
      <x:c r="J25" s="2"/>
    </x:row>
    <x:row r="26" ht="32" customHeight="1">
      <x:c r="A26" s="2"/>
      <x:c r="B26" s="2" t="str">
        <x:v>Extra assembly starts</x:v>
      </x:c>
      <x:c r="C26" s="28" t="n">
        <x:v>0.2</x:v>
      </x:c>
      <x:c r="D26" s="2"/>
      <x:c r="E26" s="30" t="str">
        <x:v>20% extra starts creates six additional units at the base target; no yield guarantee.</x:v>
      </x:c>
      <x:c r="F26" s="2"/>
      <x:c r="G26" s="2"/>
      <x:c r="H26" s="2"/>
      <x:c r="I26" s="2"/>
      <x:c r="J26" s="2"/>
    </x:row>
    <x:row r="27" ht="32" customHeight="1">
      <x:c r="A27" s="2"/>
      <x:c r="B27" s="2" t="str">
        <x:v>Final assembly starts</x:v>
      </x:c>
      <x:c r="C27" s="2" t="n">
        <x:f>IF(OR(COUNT(C25:C26)&lt;&gt;2,C25&lt;=0,C26&lt;0),NA(),ROUNDUP(C25*(1+C26),0))</x:f>
        <x:v>36</x:v>
      </x:c>
      <x:c r="D27" s="2"/>
      <x:c r="E27" s="30" t="str">
        <x:v>Rounded up from target × (1 + extra-start percentage).</x:v>
      </x:c>
      <x:c r="F27" s="2"/>
      <x:c r="G27" s="2"/>
      <x:c r="H27" s="2"/>
      <x:c r="I27" s="2"/>
      <x:c r="J27" s="2"/>
    </x:row>
    <x:row r="28" ht="32" customHeight="1">
      <x:c r="A28" s="2"/>
      <x:c r="B28" s="2" t="str">
        <x:v>Engineering prototype runs</x:v>
      </x:c>
      <x:c r="C28" s="27" t="n">
        <x:v>2</x:v>
      </x:c>
      <x:c r="D28" s="2"/>
      <x:c r="E28" s="30" t="str">
        <x:v>Separate boards made before committing to the final batch.</x:v>
      </x:c>
      <x:c r="F28" s="2"/>
      <x:c r="G28" s="2"/>
      <x:c r="H28" s="2"/>
      <x:c r="I28" s="2"/>
      <x:c r="J28" s="2"/>
    </x:row>
    <x:row r="29" ht="32" customHeight="1">
      <x:c r="A29" s="2"/>
      <x:c r="B29" s="2" t="str">
        <x:v>Prototype starts per run</x:v>
      </x:c>
      <x:c r="C29" s="27" t="n">
        <x:v>5</x:v>
      </x:c>
      <x:c r="D29" s="2"/>
      <x:c r="E29" s="30" t="str">
        <x:v>Small first and second revisions.</x:v>
      </x:c>
      <x:c r="F29" s="2"/>
      <x:c r="G29" s="2"/>
      <x:c r="H29" s="2"/>
      <x:c r="I29" s="2"/>
      <x:c r="J29" s="2"/>
    </x:row>
    <x:row r="30" ht="32" customHeight="1">
      <x:c r="A30" s="2"/>
      <x:c r="B30" s="2" t="str">
        <x:v>Total prototype starts</x:v>
      </x:c>
      <x:c r="C30" s="2" t="n">
        <x:f>IF(OR(COUNT(C28:C29)&lt;&gt;2,C28&lt;0,C29&lt;0),NA(),C28*C29)</x:f>
        <x:v>10</x:v>
      </x:c>
      <x:c r="D30" s="2"/>
      <x:c r="E30" s="30" t="str">
        <x:v>Additional to final assembly starts; not counted as delivered devices.</x:v>
      </x:c>
      <x:c r="F30" s="2"/>
      <x:c r="G30" s="2"/>
      <x:c r="H30" s="2"/>
      <x:c r="I30" s="2"/>
      <x:c r="J30" s="2"/>
    </x:row>
    <x:row r="31" ht="32" customHeight="1">
      <x:c r="A31" s="2"/>
      <x:c r="B31" s="2" t="str">
        <x:v>Contingency rate</x:v>
      </x:c>
      <x:c r="C31" s="28" t="n">
        <x:v>0.2</x:v>
      </x:c>
      <x:c r="D31" s="2"/>
      <x:c r="E31" s="30" t="str">
        <x:v>Applied to all new cash costs; no contingency on old receipts.</x:v>
      </x:c>
      <x:c r="F31" s="2"/>
      <x:c r="G31" s="2"/>
      <x:c r="H31" s="2"/>
      <x:c r="I31" s="2"/>
      <x:c r="J31" s="2"/>
    </x:row>
    <x:row r="32" ht="32" customHeight="1">
      <x:c r="A32" s="2"/>
      <x:c r="B32" s="2" t="str">
        <x:v>Funding rounding increment</x:v>
      </x:c>
      <x:c r="C32" s="29" t="n">
        <x:v>100</x:v>
      </x:c>
      <x:c r="D32" s="2"/>
      <x:c r="E32" s="30" t="str">
        <x:v>Round the requested amount up to this number of dollars.</x:v>
      </x:c>
      <x:c r="F32" s="2"/>
      <x:c r="G32" s="2"/>
      <x:c r="H32" s="2"/>
      <x:c r="I32" s="2"/>
      <x:c r="J32" s="2"/>
    </x:row>
    <x:row r="33" ht="32" customHeight="1">
      <x:c r="A33" s="2"/>
      <x:c r="B33" s="2" t="str">
        <x:v>Reimburse prior purchases? (1=yes)</x:v>
      </x:c>
      <x:c r="C33" s="27" t="n">
        <x:v>0</x:v>
      </x:c>
      <x:c r="D33" s="2"/>
      <x:c r="E33" s="30" t="str">
        <x:v>Leave at 0 for new funding only; 1 adds $331.60 before rounding.</x:v>
      </x:c>
      <x:c r="F33" s="2"/>
      <x:c r="G33" s="2"/>
      <x:c r="H33" s="2"/>
      <x:c r="I33" s="2"/>
      <x:c r="J33" s="2"/>
    </x:row>
    <x:row r="34" ht="32" customHeight="1">
      <x:c r="A34" s="2"/>
      <x:c r="B34" s="2" t="str">
        <x:v>Prototype parts price premium</x:v>
      </x:c>
      <x:c r="C34" s="28" t="n">
        <x:v>0.2</x:v>
      </x:c>
      <x:c r="D34" s="2"/>
      <x:c r="E34" s="30" t="str">
        <x:v>Small orders and part substitutions versus final-batch component allowances.</x:v>
      </x:c>
      <x:c r="F34" s="2"/>
      <x:c r="G34" s="2"/>
      <x:c r="H34" s="2"/>
      <x:c r="I34" s="2"/>
      <x:c r="J34" s="2"/>
    </x:row>
    <x:row r="35" ht="32" customHeight="1">
      <x:c r="A35" s="2"/>
      <x:c r="B35" s="2" t="str">
        <x:v>Non-CoE semester access passes</x:v>
      </x:c>
      <x:c r="C35" s="27" t="n">
        <x:v>0</x:v>
      </x:c>
      <x:c r="D35" s="2"/>
      <x:c r="E35" s="30" t="str">
        <x:v>0 assumes eligible campus access. Confirm all participating members before ordering.</x:v>
      </x:c>
      <x:c r="F35" s="2"/>
      <x:c r="G35" s="2"/>
      <x:c r="H35" s="2"/>
      <x:c r="I35" s="2"/>
      <x:c r="J35" s="2"/>
    </x:row>
    <x:row r="36" ht="32" customHeight="1">
      <x:c r="A36" s="2"/>
      <x:c r="B36" s="2" t="str">
        <x:v>Price per non-CoE semester pass</x:v>
      </x:c>
      <x:c r="C36" s="29" t="n">
        <x:v>150</x:v>
      </x:c>
      <x:c r="D36" s="2"/>
      <x:c r="E36" s="30" t="str">
        <x:v>UW DI Lab published M-Pass rate; materials are charged separately.</x:v>
      </x:c>
      <x:c r="F36" s="2"/>
      <x:c r="G36" s="2"/>
      <x:c r="H36" s="2"/>
      <x:c r="I36" s="2"/>
      <x:c r="J36" s="2"/>
    </x:row>
    <x:row r="37" ht="24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</x:row>
    <x:row r="39" ht="28" customHeight="1">
      <x:c r="A39" s="2"/>
      <x:c r="B39" s="25" t="str">
        <x:v>Volunteer effort estimate</x:v>
      </x:c>
      <x:c r="C39" s="25"/>
      <x:c r="D39" s="2"/>
      <x:c r="E39" s="2"/>
      <x:c r="F39" s="2"/>
      <x:c r="G39" s="2"/>
      <x:c r="H39" s="2"/>
      <x:c r="I39" s="2"/>
      <x:c r="J39" s="2"/>
    </x:row>
    <x:row r="40" ht="30" customHeight="1">
      <x:c r="A40" s="2"/>
      <x:c r="B40" s="8" t="str">
        <x:v>Workstream</x:v>
      </x:c>
      <x:c r="C40" s="8" t="str">
        <x:v>Hours</x:v>
      </x:c>
      <x:c r="D40" s="2"/>
      <x:c r="E40" s="2"/>
      <x:c r="F40" s="2"/>
      <x:c r="G40" s="2"/>
      <x:c r="H40" s="2"/>
      <x:c r="I40" s="2"/>
      <x:c r="J40" s="2"/>
    </x:row>
    <x:row r="41" ht="30" customHeight="1">
      <x:c r="A41" s="2"/>
      <x:c r="B41" s="2" t="str">
        <x:v>PCB schematic, layout and supplier files</x:v>
      </x:c>
      <x:c r="C41" s="31" t="n">
        <x:v>100</x:v>
      </x:c>
      <x:c r="D41" s="2"/>
      <x:c r="E41" s="30" t="str">
        <x:v>Task-hour allowances cover development of the existing platform, not a new operating system.</x:v>
      </x:c>
      <x:c r="F41" s="2"/>
      <x:c r="G41" s="2"/>
      <x:c r="H41" s="2"/>
      <x:c r="I41" s="2"/>
      <x:c r="J41" s="2"/>
    </x:row>
    <x:row r="42" ht="30" customHeight="1">
      <x:c r="A42" s="2"/>
      <x:c r="B42" s="2" t="str">
        <x:v>Firmware, audio and power integration</x:v>
      </x:c>
      <x:c r="C42" s="31" t="n">
        <x:v>160</x:v>
      </x:c>
      <x:c r="D42" s="2"/>
      <x:c r="E42" s="30"/>
      <x:c r="F42" s="2"/>
      <x:c r="G42" s="2"/>
      <x:c r="H42" s="2"/>
      <x:c r="I42" s="2"/>
      <x:c r="J42" s="2"/>
    </x:row>
    <x:row r="43" ht="30" customHeight="1">
      <x:c r="A43" s="2"/>
      <x:c r="B43" s="2" t="str">
        <x:v>Phone relay and application integration</x:v>
      </x:c>
      <x:c r="C43" s="31" t="n">
        <x:v>120</x:v>
      </x:c>
      <x:c r="D43" s="2"/>
      <x:c r="E43" s="30"/>
      <x:c r="F43" s="2"/>
      <x:c r="G43" s="2"/>
      <x:c r="H43" s="2"/>
      <x:c r="I43" s="2"/>
      <x:c r="J43" s="2"/>
    </x:row>
    <x:row r="44" ht="30" customHeight="1">
      <x:c r="A44" s="2"/>
      <x:c r="B44" s="2" t="str">
        <x:v>Enclosure design and fit iterations</x:v>
      </x:c>
      <x:c r="C44" s="31" t="n">
        <x:v>50</x:v>
      </x:c>
      <x:c r="D44" s="2"/>
      <x:c r="E44" s="30" t="str">
        <x:v>Two hours per final start: wiring/touch-up, case assembly, firmware loading, test and rework allowance.</x:v>
      </x:c>
      <x:c r="F44" s="2"/>
      <x:c r="G44" s="2"/>
      <x:c r="H44" s="2"/>
      <x:c r="I44" s="2"/>
      <x:c r="J44" s="2"/>
    </x:row>
    <x:row r="45" ht="30" customHeight="1">
      <x:c r="A45" s="2"/>
      <x:c r="B45" s="2" t="str">
        <x:v>Reliability testing and documentation</x:v>
      </x:c>
      <x:c r="C45" s="31" t="n">
        <x:v>70</x:v>
      </x:c>
      <x:c r="D45" s="2"/>
      <x:c r="E45" s="30"/>
      <x:c r="F45" s="2"/>
      <x:c r="G45" s="2"/>
      <x:c r="H45" s="2"/>
      <x:c r="I45" s="2"/>
      <x:c r="J45" s="2"/>
    </x:row>
    <x:row r="46" ht="30" customHeight="1">
      <x:c r="A46" s="2"/>
      <x:c r="B46" s="2" t="str">
        <x:v>Project coordination and purchasing</x:v>
      </x:c>
      <x:c r="C46" s="31" t="n">
        <x:v>40</x:v>
      </x:c>
      <x:c r="D46" s="2"/>
      <x:c r="E46" s="30"/>
      <x:c r="F46" s="2"/>
      <x:c r="G46" s="2"/>
      <x:c r="H46" s="2"/>
      <x:c r="I46" s="2"/>
      <x:c r="J46" s="2"/>
    </x:row>
    <x:row r="47" ht="30" customHeight="1">
      <x:c r="A47" s="2"/>
      <x:c r="B47" s="2" t="str">
        <x:v>Prototype assembly and testing</x:v>
      </x:c>
      <x:c r="C47" s="13" t="n">
        <x:f>IF(COUNT(C30,C51)&lt;&gt;2,NA(),C30*C51)</x:f>
        <x:v>15</x:v>
      </x:c>
      <x:c r="D47" s="2"/>
      <x:c r="E47" s="30" t="str">
        <x:v>Outsourced SMT placement is a cash service in Manufacturing; student work is additional.</x:v>
      </x:c>
      <x:c r="F47" s="2"/>
      <x:c r="G47" s="2"/>
      <x:c r="H47" s="2"/>
      <x:c r="I47" s="2"/>
      <x:c r="J47" s="2"/>
    </x:row>
    <x:row r="48" ht="30" customHeight="1">
      <x:c r="A48" s="2"/>
      <x:c r="B48" s="2" t="str">
        <x:v>Final assembly, programming and testing</x:v>
      </x:c>
      <x:c r="C48" s="13" t="n">
        <x:f>IF(COUNT(C27,C52)&lt;&gt;2,NA(),C27*C52)</x:f>
        <x:v>72</x:v>
      </x:c>
      <x:c r="D48" s="2"/>
      <x:c r="E48" s="30"/>
      <x:c r="F48" s="2"/>
      <x:c r="G48" s="2"/>
      <x:c r="H48" s="2"/>
      <x:c r="I48" s="2"/>
      <x:c r="J48" s="2"/>
    </x:row>
    <x:row r="49" ht="24" customHeight="1">
      <x:c r="A49" s="2"/>
      <x:c r="B49" s="17" t="str">
        <x:v>Total volunteer hours</x:v>
      </x:c>
      <x:c r="C49" s="32" t="n">
        <x:f>IF(COUNT(C41:C48)=8,SUM(C41:C48),NA())</x:f>
        <x:v>627</x:v>
      </x:c>
      <x:c r="D49" s="2"/>
      <x:c r="E49" s="2"/>
      <x:c r="F49" s="2"/>
      <x:c r="G49" s="2"/>
      <x:c r="H49" s="2"/>
      <x:c r="I49" s="2"/>
      <x:c r="J49" s="2"/>
    </x:row>
    <x:row r="50" ht="24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</x:row>
    <x:row r="51" ht="24" customHeight="1">
      <x:c r="A51" s="2"/>
      <x:c r="B51" s="2" t="str">
        <x:v>Hands-on hours per prototype start</x:v>
      </x:c>
      <x:c r="C51" s="33" t="n">
        <x:v>1.5</x:v>
      </x:c>
      <x:c r="D51" s="2"/>
      <x:c r="E51" s="2"/>
      <x:c r="F51" s="2"/>
      <x:c r="G51" s="2"/>
      <x:c r="H51" s="2"/>
      <x:c r="I51" s="2"/>
      <x:c r="J51" s="2"/>
    </x:row>
    <x:row r="52" ht="24" customHeight="1">
      <x:c r="A52" s="2"/>
      <x:c r="B52" s="2" t="str">
        <x:v>Hands-on hours per final assembly start</x:v>
      </x:c>
      <x:c r="C52" s="33" t="n">
        <x:v>2</x:v>
      </x:c>
      <x:c r="D52" s="2"/>
      <x:c r="E52" s="2"/>
      <x:c r="F52" s="2"/>
      <x:c r="G52" s="2"/>
      <x:c r="H52" s="2"/>
      <x:c r="I52" s="2"/>
      <x:c r="J52" s="2"/>
    </x:row>
    <x:row r="53" ht="24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</x:row>
    <x:row r="54" ht="24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</x:row>
    <x:row r="55" ht="28" customHeight="1">
      <x:c r="A55" s="2"/>
      <x:c r="B55" s="25" t="str">
        <x:v>Scope and production gates</x:v>
      </x:c>
      <x:c r="C55" s="25"/>
      <x:c r="D55" s="2"/>
      <x:c r="E55" s="2"/>
      <x:c r="F55" s="2"/>
      <x:c r="G55" s="2"/>
      <x:c r="H55" s="2"/>
      <x:c r="I55" s="2"/>
      <x:c r="J55" s="2"/>
    </x:row>
    <x:row r="56" ht="24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</x:row>
    <x:row r="57" ht="33" customHeight="1">
      <x:c r="A57" s="2"/>
      <x:c r="B57" s="30" t="str">
        <x:v>Basis: nRF5340 BLE pendant with a phone relay. Existing development hardware supports learning and bring-up.</x:v>
      </x:c>
      <x:c r="C57" s="30"/>
      <x:c r="D57" s="30"/>
      <x:c r="E57" s="30"/>
      <x:c r="F57" s="2"/>
      <x:c r="G57" s="2"/>
      <x:c r="H57" s="2"/>
      <x:c r="I57" s="2"/>
      <x:c r="J57" s="2"/>
    </x:row>
    <x:row r="58" ht="33" customHeight="1">
      <x:c r="A58" s="2"/>
      <x:c r="B58" s="30" t="str">
        <x:v>Pilot assumes an available protected LiPo and a printable enclosure adjusted to fit. A fixed miniature round case is not costed.</x:v>
      </x:c>
      <x:c r="C58" s="30"/>
      <x:c r="D58" s="30"/>
      <x:c r="E58" s="30"/>
      <x:c r="F58" s="2"/>
      <x:c r="G58" s="2"/>
      <x:c r="H58" s="2"/>
      <x:c r="I58" s="2"/>
      <x:c r="J58" s="2"/>
    </x:row>
    <x:row r="59" ht="33" customHeight="1">
      <x:c r="A59" s="2"/>
      <x:c r="B59" s="30" t="str">
        <x:v>Before ordering: finish PCB routing/DFM, select battery and speaker, validate phone relay, and obtain BOM/CPL/Gerber-based quotes.</x:v>
      </x:c>
      <x:c r="C59" s="30"/>
      <x:c r="D59" s="30"/>
      <x:c r="E59" s="30"/>
      <x:c r="F59" s="2"/>
      <x:c r="G59" s="2"/>
      <x:c r="H59" s="2"/>
      <x:c r="I59" s="2"/>
      <x:c r="J59" s="2"/>
    </x:row>
    <x:row r="60" ht="33" customHeight="1">
      <x:c r="A60" s="2"/>
      <x:c r="B60" s="30" t="str">
        <x:v>Campus enclosure allowance is $12 per set. It is not a commercial SLS quote; replace it if campus fabrication is unavailable.</x:v>
      </x:c>
      <x:c r="C60" s="30"/>
      <x:c r="D60" s="30"/>
      <x:c r="E60" s="30"/>
      <x:c r="F60" s="2"/>
      <x:c r="G60" s="2"/>
      <x:c r="H60" s="2"/>
      <x:c r="I60" s="2"/>
      <x:c r="J60" s="2"/>
    </x:row>
    <x:row r="61" ht="33" customHeight="1">
      <x:c r="A61" s="2"/>
      <x:c r="B61" s="30" t="str">
        <x:v>Excluded: commercial certification, injection tooling, custom battery NRE/MOQ, phones, computers and ongoing AI/hosting/cellular service.</x:v>
      </x:c>
      <x:c r="C61" s="30"/>
      <x:c r="D61" s="30"/>
      <x:c r="E61" s="30"/>
      <x:c r="F61" s="2"/>
      <x:c r="G61" s="2"/>
      <x:c r="H61" s="2"/>
      <x:c r="I61" s="2"/>
      <x:c r="J61" s="2"/>
    </x:row>
    <x:row r="62" ht="33" customHeight="1">
      <x:c r="A62" s="2"/>
      <x:c r="B62" s="30" t="str">
        <x:v>Access rates: UW DI Lab, https://making.engr.wisc.edu/access/. Printing: https://making.engr.wisc.edu/3dprint-cost/. Checked September 23, 2026.</x:v>
      </x:c>
      <x:c r="C62" s="30"/>
      <x:c r="D62" s="30"/>
      <x:c r="E62" s="30"/>
      <x:c r="F62" s="2"/>
      <x:c r="G62" s="2"/>
      <x:c r="H62" s="2"/>
      <x:c r="I62" s="2"/>
      <x:c r="J62" s="2"/>
    </x:row>
    <x:row r="63" ht="24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</x:row>
    <x:row r="64" ht="24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</x:row>
    <x:row r="65" ht="24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</x:row>
    <x:row r="66" ht="24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</x:row>
  </x:sheetData>
  <x:mergeCells>
    <x:mergeCell ref="B57:E57"/>
    <x:mergeCell ref="B58:E58"/>
    <x:mergeCell ref="B59:E59"/>
    <x:mergeCell ref="B60:E60"/>
    <x:mergeCell ref="B61:E61"/>
    <x:mergeCell ref="B62:E62"/>
  </x:mergeCells>
  <x:dataValidations count="8">
    <x:dataValidation type="list" sqref="C33">
      <x:formula1>"0,1"</x:formula1>
    </x:dataValidation>
    <x:dataValidation type="whole" operator="between" sqref="C25">
      <x:formula1>1</x:formula1>
      <x:formula2>1000</x:formula2>
    </x:dataValidation>
    <x:dataValidation type="whole" operator="between" sqref="C28">
      <x:formula1>0</x:formula1>
      <x:formula2>1000</x:formula2>
    </x:dataValidation>
    <x:dataValidation type="whole" operator="between" sqref="C29">
      <x:formula1>0</x:formula1>
      <x:formula2>1000</x:formula2>
    </x:dataValidation>
    <x:dataValidation type="whole" operator="between" sqref="C35">
      <x:formula1>0</x:formula1>
      <x:formula2>1000</x:formula2>
    </x:dataValidation>
    <x:dataValidation type="decimal" operator="between" sqref="C26">
      <x:formula1>0</x:formula1>
      <x:formula2>1</x:formula2>
    </x:dataValidation>
    <x:dataValidation type="decimal" operator="between" sqref="C31">
      <x:formula1>0</x:formula1>
      <x:formula2>1</x:formula2>
    </x:dataValidation>
    <x:dataValidation type="decimal" operator="between" sqref="C34">
      <x:formula1>0</x:formula1>
      <x:formula2>1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33E52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43" hidden="0" customWidth="1"/>
    <x:col min="3" max="3" width="10" hidden="0" customWidth="1"/>
    <x:col min="4" max="4" width="13" hidden="0" customWidth="1"/>
    <x:col min="5" max="5" width="17" hidden="0" customWidth="1"/>
    <x:col min="6" max="6" width="17" hidden="0" customWidth="1"/>
    <x:col min="7" max="7" width="3" hidden="0" customWidth="1"/>
    <x:col min="8" max="8" width="76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4" customHeight="1">
      <x:c r="A2" s="2"/>
      <x:c r="B2" s="3" t="str">
        <x:v>Manufacturing and development costs</x:v>
      </x:c>
      <x:c r="C2" s="2"/>
      <x:c r="D2" s="2"/>
      <x:c r="E2" s="2"/>
      <x:c r="F2" s="2"/>
      <x:c r="G2" s="2"/>
      <x:c r="H2" s="2"/>
      <x:c r="I2" s="2"/>
      <x:c r="J2" s="2"/>
    </x:row>
    <x:row r="3" ht="24" customHeight="1">
      <x:c r="A3" s="2"/>
      <x:c r="B3" s="4" t="str">
        <x:v>New cash spending only · unit prices are editable planning allowances</x:v>
      </x:c>
      <x:c r="C3" s="2"/>
      <x:c r="D3" s="2"/>
      <x:c r="E3" s="2"/>
      <x:c r="F3" s="2"/>
      <x:c r="G3" s="2"/>
      <x:c r="H3" s="2"/>
      <x:c r="I3" s="2"/>
      <x:c r="J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30" customHeight="1">
      <x:c r="A5" s="2"/>
      <x:c r="B5" s="8" t="str">
        <x:v>Cost item</x:v>
      </x:c>
      <x:c r="C5" s="8" t="str">
        <x:v>Quantity</x:v>
      </x:c>
      <x:c r="D5" s="8" t="str">
        <x:v>Unit</x:v>
      </x:c>
      <x:c r="E5" s="8" t="str">
        <x:v>Unit cost</x:v>
      </x:c>
      <x:c r="F5" s="8" t="str">
        <x:v>Extended cost</x:v>
      </x:c>
      <x:c r="G5" s="2"/>
      <x:c r="H5" s="2"/>
      <x:c r="I5" s="2"/>
      <x:c r="J5" s="2"/>
    </x:row>
    <x:row r="6" ht="28" customHeight="1">
      <x:c r="A6" s="2"/>
      <x:c r="B6" s="25" t="str">
        <x:v>Final pilot manufacturing</x:v>
      </x:c>
      <x:c r="C6" s="25"/>
      <x:c r="D6" s="25"/>
      <x:c r="E6" s="25"/>
      <x:c r="F6" s="25"/>
      <x:c r="G6" s="2"/>
      <x:c r="H6" s="30"/>
      <x:c r="I6" s="2"/>
      <x:c r="J6" s="2"/>
    </x:row>
    <x:row r="7" ht="45" customHeight="1">
      <x:c r="A7" s="2"/>
      <x:c r="B7" s="30" t="str">
        <x:v>Electronic components</x:v>
      </x:c>
      <x:c r="C7" s="9" t="n">
        <x:f>'Budget'!C27</x:f>
        <x:v>36</x:v>
      </x:c>
      <x:c r="D7" s="42" t="str">
        <x:v>device</x:v>
      </x:c>
      <x:c r="E7" s="10" t="n">
        <x:f>'Parts'!E25</x:f>
        <x:v>83.25</x:v>
      </x:c>
      <x:c r="F7" s="11" t="n">
        <x:f>IF(COUNT(C7,E7)&lt;&gt;2,NA(),C7*E7)</x:f>
        <x:v>2997</x:v>
      </x:c>
      <x:c r="G7" s="2"/>
      <x:c r="H7" s="30" t="str">
        <x:v>Itemized in Parts. Extra starts buy full part sets; no historical receipt is multiplied by 30.</x:v>
      </x:c>
      <x:c r="I7" s="2"/>
      <x:c r="J7" s="2"/>
    </x:row>
    <x:row r="8" ht="45" customHeight="1">
      <x:c r="A8" s="2"/>
      <x:c r="B8" s="30" t="str">
        <x:v>Four-layer bare PCBs</x:v>
      </x:c>
      <x:c r="C8" s="9" t="n">
        <x:f>'Budget'!C27</x:f>
        <x:v>36</x:v>
      </x:c>
      <x:c r="D8" s="42" t="str">
        <x:v>board</x:v>
      </x:c>
      <x:c r="E8" s="34" t="n">
        <x:v>8</x:v>
      </x:c>
      <x:c r="F8" s="11" t="n">
        <x:f>IF(COUNT(C8,E8)&lt;&gt;2,NA(),C8*E8)</x:f>
        <x:v>288</x:v>
      </x:c>
      <x:c r="G8" s="2"/>
      <x:c r="H8" s="30" t="str">
        <x:v>Planning allowance: routed aQFN board, conventional four-layer stack. Gerber-based quote required.</x:v>
      </x:c>
      <x:c r="I8" s="2"/>
      <x:c r="J8" s="2"/>
    </x:row>
    <x:row r="9" ht="45" customHeight="1">
      <x:c r="A9" s="2"/>
      <x:c r="B9" s="30" t="str">
        <x:v>Outsourced SMT placement/inspection</x:v>
      </x:c>
      <x:c r="C9" s="9" t="n">
        <x:f>'Budget'!C27</x:f>
        <x:v>36</x:v>
      </x:c>
      <x:c r="D9" s="42" t="str">
        <x:v>board</x:v>
      </x:c>
      <x:c r="E9" s="34" t="n">
        <x:v>15</x:v>
      </x:c>
      <x:c r="F9" s="11" t="n">
        <x:f>IF(COUNT(C9,E9)&lt;&gt;2,NA(),C9*E9)</x:f>
        <x:v>540</x:v>
      </x:c>
      <x:c r="G9" s="2"/>
      <x:c r="H9" s="30" t="str">
        <x:v>Allowance, not a vendor quote. Setup is separate. Cost structure: https://jlcpcb.com/help/article/pcb-assembly-price</x:v>
      </x:c>
      <x:c r="I9" s="2"/>
      <x:c r="J9" s="2"/>
    </x:row>
    <x:row r="10" ht="45" customHeight="1">
      <x:c r="A10" s="2"/>
      <x:c r="B10" s="30" t="str">
        <x:v>3D-printed enclosure sets</x:v>
      </x:c>
      <x:c r="C10" s="9" t="n">
        <x:f>'Budget'!C27</x:f>
        <x:v>36</x:v>
      </x:c>
      <x:c r="D10" s="42" t="str">
        <x:v>set</x:v>
      </x:c>
      <x:c r="E10" s="34" t="n">
        <x:v>12</x:v>
      </x:c>
      <x:c r="F10" s="11" t="n">
        <x:f>IF(COUNT(C10,E10)&lt;&gt;2,NA(),C10*E10)</x:f>
        <x:v>432</x:v>
      </x:c>
      <x:c r="G10" s="2"/>
      <x:c r="H10" s="30" t="str">
        <x:v>Campus fabrication allowance for a complete shell set. Exact geometry quote pending. https://making.engr.wisc.edu/3dprint-cost/</x:v>
      </x:c>
      <x:c r="I10" s="2"/>
      <x:c r="J10" s="2"/>
    </x:row>
    <x:row r="11" ht="45" customHeight="1">
      <x:c r="A11" s="2"/>
      <x:c r="B11" s="30" t="str">
        <x:v>Strap, charging cable and fit materials</x:v>
      </x:c>
      <x:c r="C11" s="9" t="n">
        <x:f>'Budget'!C27</x:f>
        <x:v>36</x:v>
      </x:c>
      <x:c r="D11" s="42" t="str">
        <x:v>kit</x:v>
      </x:c>
      <x:c r="E11" s="34" t="n">
        <x:v>18</x:v>
      </x:c>
      <x:c r="F11" s="11" t="n">
        <x:f>IF(COUNT(C11,E11)&lt;&gt;2,NA(),C11*E11)</x:f>
        <x:v>648</x:v>
      </x:c>
      <x:c r="G11" s="2"/>
      <x:c r="H11" s="30" t="str">
        <x:v>Per kit: charging cable $8, strap $4, fasteners $2, acoustic vent/adhesive/gasket $4. Planning allowances.</x:v>
      </x:c>
      <x:c r="I11" s="2"/>
      <x:c r="J11" s="2"/>
    </x:row>
    <x:row r="12" ht="45" customHeight="1">
      <x:c r="A12" s="2"/>
      <x:c r="B12" s="30" t="str">
        <x:v>Final soldering/cleaning consumables</x:v>
      </x:c>
      <x:c r="C12" s="9" t="n">
        <x:f>'Budget'!C27</x:f>
        <x:v>36</x:v>
      </x:c>
      <x:c r="D12" s="42" t="str">
        <x:v>device</x:v>
      </x:c>
      <x:c r="E12" s="34" t="n">
        <x:v>4</x:v>
      </x:c>
      <x:c r="F12" s="11" t="n">
        <x:f>IF(COUNT(C12,E12)&lt;&gt;2,NA(),C12*E12)</x:f>
        <x:v>144</x:v>
      </x:c>
      <x:c r="G12" s="2"/>
      <x:c r="H12" s="30" t="str">
        <x:v>Solder, flux, braid and cleaning allocation; volunteer touch-up labor is in Budget hours.</x:v>
      </x:c>
      <x:c r="I12" s="2"/>
      <x:c r="J12" s="2"/>
    </x:row>
    <x:row r="13" ht="45" customHeight="1">
      <x:c r="A13" s="2"/>
      <x:c r="B13" s="30" t="str">
        <x:v>SMT setup, stencil and feeder allowance</x:v>
      </x:c>
      <x:c r="C13" s="27" t="n">
        <x:v>1</x:v>
      </x:c>
      <x:c r="D13" s="42" t="str">
        <x:v>batch</x:v>
      </x:c>
      <x:c r="E13" s="34" t="n">
        <x:v>250</x:v>
      </x:c>
      <x:c r="F13" s="11" t="n">
        <x:f>IF(COUNT(C13,E13)&lt;&gt;2,NA(),C13*E13)</x:f>
        <x:v>250</x:v>
      </x:c>
      <x:c r="G13" s="2"/>
      <x:c r="H13" s="30" t="str">
        <x:v>Fixed small-batch allowance; actual cost depends on assembly sides, feeders and inspection. https://jlcpcb.com/help/article/pcb-assembly-price</x:v>
      </x:c>
      <x:c r="I13" s="2"/>
      <x:c r="J13" s="2"/>
    </x:row>
    <x:row r="14" ht="45" customHeight="1">
      <x:c r="A14" s="2"/>
      <x:c r="B14" s="30" t="str">
        <x:v>Programming and test fixture</x:v>
      </x:c>
      <x:c r="C14" s="27" t="n">
        <x:v>1</x:v>
      </x:c>
      <x:c r="D14" s="42" t="str">
        <x:v>fixture</x:v>
      </x:c>
      <x:c r="E14" s="34" t="n">
        <x:v>350</x:v>
      </x:c>
      <x:c r="F14" s="11" t="n">
        <x:f>IF(COUNT(C14,E14)&lt;&gt;2,NA(),C14*E14)</x:f>
        <x:v>350</x:v>
      </x:c>
      <x:c r="G14" s="2"/>
      <x:c r="H14" s="30" t="str">
        <x:v>Pogo fixture, harness and adapters; no new oscilloscope or bench power supply assumed.</x:v>
      </x:c>
      <x:c r="I14" s="2"/>
      <x:c r="J14" s="2"/>
    </x:row>
    <x:row r="15" ht="45" customHeight="1">
      <x:c r="A15" s="2"/>
      <x:c r="B15" s="30" t="str">
        <x:v>Final-batch freight, tax and tariff reserve</x:v>
      </x:c>
      <x:c r="C15" s="27" t="n">
        <x:v>1</x:v>
      </x:c>
      <x:c r="D15" s="42" t="str">
        <x:v>batch</x:v>
      </x:c>
      <x:c r="E15" s="34" t="n">
        <x:v>400</x:v>
      </x:c>
      <x:c r="F15" s="11" t="n">
        <x:f>IF(COUNT(C15,E15)&lt;&gt;2,NA(),C15*E15)</x:f>
        <x:v>400</x:v>
      </x:c>
      <x:c r="G15" s="2"/>
      <x:c r="H15" s="30" t="str">
        <x:v>Unquoted landed-cost allowance. No sales-tax exemption or specific tariff rate assumed.</x:v>
      </x:c>
      <x:c r="I15" s="2"/>
      <x:c r="J15" s="2"/>
    </x:row>
    <x:row r="16" ht="24" customHeight="1">
      <x:c r="A16" s="2"/>
      <x:c r="B16" s="30"/>
      <x:c r="C16" s="2"/>
      <x:c r="D16" s="42"/>
      <x:c r="E16" s="11"/>
      <x:c r="F16" s="11"/>
      <x:c r="G16" s="2"/>
      <x:c r="H16" s="30"/>
      <x:c r="I16" s="2"/>
      <x:c r="J16" s="2"/>
    </x:row>
    <x:row r="17" ht="24" customHeight="1">
      <x:c r="A17" s="2"/>
      <x:c r="B17" s="30"/>
      <x:c r="C17" s="2"/>
      <x:c r="D17" s="42"/>
      <x:c r="E17" s="11"/>
      <x:c r="F17" s="11"/>
      <x:c r="G17" s="2"/>
      <x:c r="H17" s="30"/>
      <x:c r="I17" s="2"/>
      <x:c r="J17" s="2"/>
    </x:row>
    <x:row r="18" ht="24" customHeight="1">
      <x:c r="A18" s="2"/>
      <x:c r="B18" s="40" t="str">
        <x:v>Final pilot manufacturing total</x:v>
      </x:c>
      <x:c r="C18" s="17"/>
      <x:c r="D18" s="43"/>
      <x:c r="E18" s="18"/>
      <x:c r="F18" s="18" t="n">
        <x:f>IF(COUNT(F7:F15)=9,SUM(F7:F15),NA())</x:f>
        <x:v>6049</x:v>
      </x:c>
      <x:c r="G18" s="2"/>
      <x:c r="H18" s="30"/>
      <x:c r="I18" s="2"/>
      <x:c r="J18" s="2"/>
    </x:row>
    <x:row r="19" ht="24" customHeight="1">
      <x:c r="A19" s="2"/>
      <x:c r="B19" s="30"/>
      <x:c r="C19" s="2"/>
      <x:c r="D19" s="42"/>
      <x:c r="E19" s="11"/>
      <x:c r="F19" s="11"/>
      <x:c r="G19" s="2"/>
      <x:c r="H19" s="30"/>
      <x:c r="I19" s="2"/>
      <x:c r="J19" s="2"/>
    </x:row>
    <x:row r="20" ht="28" customHeight="1">
      <x:c r="A20" s="2"/>
      <x:c r="B20" s="41" t="str">
        <x:v>Development and prototype revisions</x:v>
      </x:c>
      <x:c r="C20" s="25"/>
      <x:c r="D20" s="44"/>
      <x:c r="E20" s="39"/>
      <x:c r="F20" s="39"/>
      <x:c r="G20" s="2"/>
      <x:c r="H20" s="30"/>
      <x:c r="I20" s="2"/>
      <x:c r="J20" s="2"/>
    </x:row>
    <x:row r="21" ht="45" customHeight="1">
      <x:c r="A21" s="2"/>
      <x:c r="B21" s="30" t="str">
        <x:v>Prototype electronic components</x:v>
      </x:c>
      <x:c r="C21" s="9" t="n">
        <x:f>'Budget'!C30</x:f>
        <x:v>10</x:v>
      </x:c>
      <x:c r="D21" s="42" t="str">
        <x:v>device</x:v>
      </x:c>
      <x:c r="E21" s="10" t="n">
        <x:f>IF(COUNT('Budget'!C34)&lt;&gt;1,NA(),'Parts'!E25*(1+'Budget'!C34))</x:f>
        <x:v>99.89999999999999</x:v>
      </x:c>
      <x:c r="F21" s="11" t="n">
        <x:f>IF(COUNT(C21,E21)&lt;&gt;2,NA(),C21*E21)</x:f>
        <x:v>998.9999999999999</x:v>
      </x:c>
      <x:c r="G21" s="2"/>
      <x:c r="H21" s="30" t="str">
        <x:v>Same candidate BOM with editable small-lot price premium in Budget.</x:v>
      </x:c>
      <x:c r="I21" s="2"/>
      <x:c r="J21" s="2"/>
    </x:row>
    <x:row r="22" ht="45" customHeight="1">
      <x:c r="A22" s="2"/>
      <x:c r="B22" s="30" t="str">
        <x:v>Prototype bare PCBs</x:v>
      </x:c>
      <x:c r="C22" s="9" t="n">
        <x:f>'Budget'!C30</x:f>
        <x:v>10</x:v>
      </x:c>
      <x:c r="D22" s="42" t="str">
        <x:v>board</x:v>
      </x:c>
      <x:c r="E22" s="34" t="n">
        <x:v>25</x:v>
      </x:c>
      <x:c r="F22" s="11" t="n">
        <x:f>IF(COUNT(C22,E22)&lt;&gt;2,NA(),C22*E22)</x:f>
        <x:v>250</x:v>
      </x:c>
      <x:c r="G22" s="2"/>
      <x:c r="H22" s="30" t="str">
        <x:v>Allowance for small four-layer runs, including supplier minimum charges; quote both revisions.</x:v>
      </x:c>
      <x:c r="I22" s="2"/>
      <x:c r="J22" s="2"/>
    </x:row>
    <x:row r="23" ht="45" customHeight="1">
      <x:c r="A23" s="2"/>
      <x:c r="B23" s="30" t="str">
        <x:v>Prototype SMT setup and stencils</x:v>
      </x:c>
      <x:c r="C23" s="9" t="n">
        <x:f>'Budget'!C28</x:f>
        <x:v>2</x:v>
      </x:c>
      <x:c r="D23" s="42" t="str">
        <x:v>run</x:v>
      </x:c>
      <x:c r="E23" s="34" t="n">
        <x:v>250</x:v>
      </x:c>
      <x:c r="F23" s="11" t="n">
        <x:f>IF(COUNT(C23,E23)&lt;&gt;2,NA(),C23*E23)</x:f>
        <x:v>500</x:v>
      </x:c>
      <x:c r="G23" s="2"/>
      <x:c r="H23" s="30" t="str">
        <x:v>Separate setup for each revision; excludes per-board assembly below. https://jlcpcb.com/help/article/pcb-assembly-price</x:v>
      </x:c>
      <x:c r="I23" s="2"/>
      <x:c r="J23" s="2"/>
    </x:row>
    <x:row r="24" ht="45" customHeight="1">
      <x:c r="A24" s="2"/>
      <x:c r="B24" s="30" t="str">
        <x:v>Prototype SMT assembly/inspection</x:v>
      </x:c>
      <x:c r="C24" s="9" t="n">
        <x:f>'Budget'!C30</x:f>
        <x:v>10</x:v>
      </x:c>
      <x:c r="D24" s="42" t="str">
        <x:v>board</x:v>
      </x:c>
      <x:c r="E24" s="34" t="n">
        <x:v>18</x:v>
      </x:c>
      <x:c r="F24" s="11" t="n">
        <x:f>IF(COUNT(C24,E24)&lt;&gt;2,NA(),C24*E24)</x:f>
        <x:v>180</x:v>
      </x:c>
      <x:c r="G24" s="2"/>
      <x:c r="H24" s="30" t="str">
        <x:v>Small-run placement/inspection allowance; specialist manual rework may require reserve.</x:v>
      </x:c>
      <x:c r="I24" s="2"/>
      <x:c r="J24" s="2"/>
    </x:row>
    <x:row r="25" ht="45" customHeight="1">
      <x:c r="A25" s="2"/>
      <x:c r="B25" s="30" t="str">
        <x:v>Prototype printed enclosure sets</x:v>
      </x:c>
      <x:c r="C25" s="9" t="n">
        <x:f>'Budget'!C30</x:f>
        <x:v>10</x:v>
      </x:c>
      <x:c r="D25" s="42" t="str">
        <x:v>set</x:v>
      </x:c>
      <x:c r="E25" s="34" t="n">
        <x:v>12</x:v>
      </x:c>
      <x:c r="F25" s="11" t="n">
        <x:f>IF(COUNT(C25,E25)&lt;&gt;2,NA(),C25*E25)</x:f>
        <x:v>120</x:v>
      </x:c>
      <x:c r="G25" s="2"/>
      <x:c r="H25" s="30" t="str">
        <x:v>Same campus fabrication allowance as final shells. https://making.engr.wisc.edu/3dprint-cost/</x:v>
      </x:c>
      <x:c r="I25" s="2"/>
      <x:c r="J25" s="2"/>
    </x:row>
    <x:row r="26" ht="45" customHeight="1">
      <x:c r="A26" s="2"/>
      <x:c r="B26" s="30" t="str">
        <x:v>Prototype bench consumables</x:v>
      </x:c>
      <x:c r="C26" s="9" t="n">
        <x:f>'Budget'!C28</x:f>
        <x:v>2</x:v>
      </x:c>
      <x:c r="D26" s="42" t="str">
        <x:v>run</x:v>
      </x:c>
      <x:c r="E26" s="34" t="n">
        <x:v>75</x:v>
      </x:c>
      <x:c r="F26" s="11" t="n">
        <x:f>IF(COUNT(C26,E26)&lt;&gt;2,NA(),C26*E26)</x:f>
        <x:v>150</x:v>
      </x:c>
      <x:c r="G26" s="2"/>
      <x:c r="H26" s="30" t="str">
        <x:v>Per run: 2 reusable charge cables × $8 plus $59 wiring, solder, connectors and temporary fixture materials.</x:v>
      </x:c>
      <x:c r="I26" s="2"/>
      <x:c r="J26" s="2"/>
    </x:row>
    <x:row r="27" ht="45" customHeight="1">
      <x:c r="A27" s="2"/>
      <x:c r="B27" s="30" t="str">
        <x:v>Prototype freight, tax and tariffs</x:v>
      </x:c>
      <x:c r="C27" s="9" t="n">
        <x:f>'Budget'!C28</x:f>
        <x:v>2</x:v>
      </x:c>
      <x:c r="D27" s="42" t="str">
        <x:v>run</x:v>
      </x:c>
      <x:c r="E27" s="34" t="n">
        <x:v>150</x:v>
      </x:c>
      <x:c r="F27" s="11" t="n">
        <x:f>IF(COUNT(C27,E27)&lt;&gt;2,NA(),C27*E27)</x:f>
        <x:v>300</x:v>
      </x:c>
      <x:c r="G27" s="2"/>
      <x:c r="H27" s="30" t="str">
        <x:v>Separate shipping and landed-cost allowance for each revision and component order.</x:v>
      </x:c>
      <x:c r="I27" s="2"/>
      <x:c r="J27" s="2"/>
    </x:row>
    <x:row r="28" ht="45" customHeight="1">
      <x:c r="A28" s="2"/>
      <x:c r="B28" s="30" t="str">
        <x:v>BLE development boards/modules</x:v>
      </x:c>
      <x:c r="C28" s="27" t="n">
        <x:v>2</x:v>
      </x:c>
      <x:c r="D28" s="42" t="str">
        <x:v>board</x:v>
      </x:c>
      <x:c r="E28" s="34" t="n">
        <x:v>75</x:v>
      </x:c>
      <x:c r="F28" s="11" t="n">
        <x:f>IF(COUNT(C28,E28)&lt;&gt;2,NA(),C28*E28)</x:f>
        <x:v>150</x:v>
      </x:c>
      <x:c r="G28" s="2"/>
      <x:c r="H28" s="30" t="str">
        <x:v>Unquoted nRF5340 evaluation allowance. Existing nRF9160 kit does not substitute for a BLE test platform.</x:v>
      </x:c>
      <x:c r="I28" s="2"/>
      <x:c r="J28" s="2"/>
    </x:row>
    <x:row r="29" ht="45" customHeight="1">
      <x:c r="A29" s="2"/>
      <x:c r="B29" s="30" t="str">
        <x:v>Battery samples and fit evaluation</x:v>
      </x:c>
      <x:c r="C29" s="27" t="n">
        <x:v>1</x:v>
      </x:c>
      <x:c r="D29" s="42" t="str">
        <x:v>lot</x:v>
      </x:c>
      <x:c r="E29" s="34" t="n">
        <x:v>250</x:v>
      </x:c>
      <x:c r="F29" s="11" t="n">
        <x:f>IF(COUNT(C29,E29)&lt;&gt;2,NA(),C29*E29)</x:f>
        <x:v>250</x:v>
      </x:c>
      <x:c r="G29" s="2"/>
      <x:c r="H29" s="30" t="str">
        <x:v>Sample cells and test materials. Custom battery NRE/minimum order not funded.</x:v>
      </x:c>
      <x:c r="I29" s="2"/>
      <x:c r="J29" s="2"/>
    </x:row>
    <x:row r="30" ht="45" customHeight="1">
      <x:c r="A30" s="2"/>
      <x:c r="B30" s="30" t="str">
        <x:v>Additional enclosure fit-test materials</x:v>
      </x:c>
      <x:c r="C30" s="27" t="n">
        <x:v>1</x:v>
      </x:c>
      <x:c r="D30" s="42" t="str">
        <x:v>lot</x:v>
      </x:c>
      <x:c r="E30" s="34" t="n">
        <x:v>100</x:v>
      </x:c>
      <x:c r="F30" s="11" t="n">
        <x:f>IF(COUNT(C30,E30)&lt;&gt;2,NA(),C30*E30)</x:f>
        <x:v>100</x:v>
      </x:c>
      <x:c r="G30" s="2"/>
      <x:c r="H30" s="30" t="str">
        <x:v>Extra print iterations beyond the ten functional prototype enclosure sets.</x:v>
      </x:c>
      <x:c r="I30" s="2"/>
      <x:c r="J30" s="2"/>
    </x:row>
    <x:row r="31" ht="45" customHeight="1">
      <x:c r="A31" s="2"/>
      <x:c r="B31" s="30" t="str">
        <x:v>External PCB/RF engineering review</x:v>
      </x:c>
      <x:c r="C31" s="27" t="n">
        <x:v>5</x:v>
      </x:c>
      <x:c r="D31" s="42" t="str">
        <x:v>hour</x:v>
      </x:c>
      <x:c r="E31" s="34" t="n">
        <x:v>100</x:v>
      </x:c>
      <x:c r="F31" s="11" t="n">
        <x:f>IF(COUNT(C31,E31)&lt;&gt;2,NA(),C31*E31)</x:f>
        <x:v>500</x:v>
      </x:c>
      <x:c r="G31" s="2"/>
      <x:c r="H31" s="30" t="str">
        <x:v>Optional paid specialist review allowance; replace with a firm quote or $0 for donated review.</x:v>
      </x:c>
      <x:c r="I31" s="2"/>
      <x:c r="J31" s="2"/>
    </x:row>
    <x:row r="32" ht="24" customHeight="1">
      <x:c r="A32" s="2"/>
      <x:c r="B32" s="30"/>
      <x:c r="C32" s="2"/>
      <x:c r="D32" s="42"/>
      <x:c r="E32" s="11"/>
      <x:c r="F32" s="11"/>
      <x:c r="G32" s="2"/>
      <x:c r="H32" s="30"/>
      <x:c r="I32" s="2"/>
      <x:c r="J32" s="2"/>
    </x:row>
    <x:row r="33" ht="24" customHeight="1">
      <x:c r="A33" s="2"/>
      <x:c r="B33" s="30"/>
      <x:c r="C33" s="2"/>
      <x:c r="D33" s="42"/>
      <x:c r="E33" s="11"/>
      <x:c r="F33" s="11"/>
      <x:c r="G33" s="2"/>
      <x:c r="H33" s="30"/>
      <x:c r="I33" s="2"/>
      <x:c r="J33" s="2"/>
    </x:row>
    <x:row r="34" ht="24" customHeight="1">
      <x:c r="A34" s="2"/>
      <x:c r="B34" s="40" t="str">
        <x:v>Development and prototypes total</x:v>
      </x:c>
      <x:c r="C34" s="17"/>
      <x:c r="D34" s="43"/>
      <x:c r="E34" s="18"/>
      <x:c r="F34" s="18" t="n">
        <x:f>IF(COUNT(F21:F31)=11,SUM(F21:F31),NA())</x:f>
        <x:v>3499</x:v>
      </x:c>
      <x:c r="G34" s="2"/>
      <x:c r="H34" s="30"/>
      <x:c r="I34" s="2"/>
      <x:c r="J34" s="2"/>
    </x:row>
    <x:row r="35" ht="24" customHeight="1">
      <x:c r="A35" s="2"/>
      <x:c r="B35" s="30"/>
      <x:c r="C35" s="2"/>
      <x:c r="D35" s="42"/>
      <x:c r="E35" s="11"/>
      <x:c r="F35" s="11"/>
      <x:c r="G35" s="2"/>
      <x:c r="H35" s="30"/>
      <x:c r="I35" s="2"/>
      <x:c r="J35" s="2"/>
    </x:row>
    <x:row r="36" ht="28" customHeight="1">
      <x:c r="A36" s="2"/>
      <x:c r="B36" s="41" t="str">
        <x:v>Conditional campus access</x:v>
      </x:c>
      <x:c r="C36" s="25"/>
      <x:c r="D36" s="44"/>
      <x:c r="E36" s="39"/>
      <x:c r="F36" s="39"/>
      <x:c r="G36" s="2"/>
      <x:c r="H36" s="30"/>
      <x:c r="I36" s="2"/>
      <x:c r="J36" s="2"/>
    </x:row>
    <x:row r="37" ht="45" customHeight="1">
      <x:c r="A37" s="2"/>
      <x:c r="B37" s="30" t="str">
        <x:v>Non-CoE semester access passes</x:v>
      </x:c>
      <x:c r="C37" s="9" t="n">
        <x:f>IF(COUNT('Budget'!C35)&lt;&gt;1,NA(),'Budget'!C35)</x:f>
        <x:v>0</x:v>
      </x:c>
      <x:c r="D37" s="42" t="str">
        <x:v>pass</x:v>
      </x:c>
      <x:c r="E37" s="10" t="n">
        <x:f>IF(COUNT('Budget'!C36)&lt;&gt;1,NA(),'Budget'!C36)</x:f>
        <x:v>150</x:v>
      </x:c>
      <x:c r="F37" s="11" t="n">
        <x:f>IF(COUNT(C37,E37)&lt;&gt;2,NA(),C37*E37)</x:f>
        <x:v>0</x:v>
      </x:c>
      <x:c r="G37" s="2"/>
      <x:c r="H37" s="30" t="str">
        <x:v>UW DI Lab M-Pass access: confirm club/member eligibility. Consumables priced separately.</x:v>
      </x:c>
      <x:c r="I37" s="2"/>
      <x:c r="J37" s="2"/>
    </x:row>
    <x:row r="38" ht="24" customHeight="1">
      <x:c r="A38" s="2"/>
      <x:c r="B38" s="40" t="str">
        <x:v>Campus access fees</x:v>
      </x:c>
      <x:c r="C38" s="17"/>
      <x:c r="D38" s="43"/>
      <x:c r="E38" s="18"/>
      <x:c r="F38" s="18" t="n">
        <x:f>F37</x:f>
        <x:v>0</x:v>
      </x:c>
      <x:c r="G38" s="2"/>
      <x:c r="H38" s="30"/>
      <x:c r="I38" s="2"/>
      <x:c r="J38" s="2"/>
    </x:row>
    <x:row r="39" ht="24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</x:row>
    <x:row r="40" ht="24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</x:row>
    <x:row r="41" ht="24" customHeight="1">
      <x:c r="A41" s="2"/>
      <x:c r="B41" s="30" t="str">
        <x:v>All services and fabrication amounts are planning allowances; obtain supplier quotes after design release.</x:v>
      </x:c>
      <x:c r="C41" s="30"/>
      <x:c r="D41" s="30"/>
      <x:c r="E41" s="30"/>
      <x:c r="F41" s="30"/>
      <x:c r="G41" s="30"/>
      <x:c r="H41" s="30"/>
      <x:c r="I41" s="2"/>
      <x:c r="J41" s="2"/>
    </x:row>
    <x:row r="42" ht="24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</x:row>
    <x:row r="43" ht="24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</x:row>
    <x:row r="44" ht="24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</x:row>
  </x:sheetData>
  <x:mergeCells>
    <x:mergeCell ref="B41:H4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33E52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35" hidden="0" customWidth="1"/>
    <x:col min="3" max="3" width="11" hidden="0" customWidth="1"/>
    <x:col min="4" max="4" width="15" hidden="0" customWidth="1"/>
    <x:col min="5" max="5" width="16" hidden="0" customWidth="1"/>
    <x:col min="6" max="6" width="26" hidden="0" customWidth="1"/>
    <x:col min="7" max="7" width="3" hidden="0" customWidth="1"/>
    <x:col min="8" max="8" width="80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4" customHeight="1">
      <x:c r="A2" s="2"/>
      <x:c r="B2" s="3" t="str">
        <x:v>Candidate component bill of materials</x:v>
      </x:c>
      <x:c r="C2" s="2"/>
      <x:c r="D2" s="2"/>
      <x:c r="E2" s="2"/>
      <x:c r="F2" s="2"/>
      <x:c r="G2" s="2"/>
      <x:c r="H2" s="2"/>
      <x:c r="I2" s="2"/>
      <x:c r="J2" s="2"/>
    </x:row>
    <x:row r="3" ht="24" customHeight="1">
      <x:c r="A3" s="2"/>
      <x:c r="B3" s="4" t="str">
        <x:v>Editable pilot allowances · one assembled device · no cellular modem</x:v>
      </x:c>
      <x:c r="C3" s="2"/>
      <x:c r="D3" s="2"/>
      <x:c r="E3" s="2"/>
      <x:c r="F3" s="2"/>
      <x:c r="G3" s="2"/>
      <x:c r="H3" s="2"/>
      <x:c r="I3" s="2"/>
      <x:c r="J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30" customHeight="1">
      <x:c r="A5" s="2"/>
      <x:c r="B5" s="8" t="str">
        <x:v>Component</x:v>
      </x:c>
      <x:c r="C5" s="8" t="str">
        <x:v>Qty / device</x:v>
      </x:c>
      <x:c r="D5" s="8" t="str">
        <x:v>Unit allowance</x:v>
      </x:c>
      <x:c r="E5" s="8" t="str">
        <x:v>Device cost</x:v>
      </x:c>
      <x:c r="F5" s="8" t="str">
        <x:v>Price status</x:v>
      </x:c>
      <x:c r="G5" s="2"/>
      <x:c r="H5" s="2"/>
      <x:c r="I5" s="2"/>
      <x:c r="J5" s="2"/>
    </x:row>
    <x:row r="6" ht="48" customHeight="1">
      <x:c r="A6" s="2"/>
      <x:c r="B6" s="30" t="str">
        <x:v>nRF5340 aQFN MCU</x:v>
      </x:c>
      <x:c r="C6" s="35" t="n">
        <x:v>1</x:v>
      </x:c>
      <x:c r="D6" s="36" t="n">
        <x:v>10</x:v>
      </x:c>
      <x:c r="E6" s="37" t="n">
        <x:f>IF(COUNT(C6:D6)&lt;&gt;2,NA(),C6*D6)</x:f>
        <x:v>10</x:v>
      </x:c>
      <x:c r="F6" s="38" t="str">
        <x:v>Spec-based allowance</x:v>
      </x:c>
      <x:c r="G6" s="30"/>
      <x:c r="H6" s="30" t="str">
        <x:v>Pendant v2 §2.1: Aug 7 indicative @1 $9.74. Requote aQFN stock; HDI/WLCSP is outside this allowance.</x:v>
      </x:c>
      <x:c r="I6" s="2"/>
      <x:c r="J6" s="2"/>
    </x:row>
    <x:row r="7" ht="48" customHeight="1">
      <x:c r="A7" s="2"/>
      <x:c r="B7" s="30" t="str">
        <x:v>PDM MEMS microphones</x:v>
      </x:c>
      <x:c r="C7" s="35" t="n">
        <x:v>2</x:v>
      </x:c>
      <x:c r="D7" s="36" t="n">
        <x:v>3.25</x:v>
      </x:c>
      <x:c r="E7" s="37" t="n">
        <x:f>IF(COUNT(C7:D7)&lt;&gt;2,NA(),C7*D7)</x:f>
        <x:v>6.5</x:v>
      </x:c>
      <x:c r="F7" s="38" t="str">
        <x:v>Spec-based allowance</x:v>
      </x:c>
      <x:c r="G7" s="30"/>
      <x:c r="H7" s="30" t="str">
        <x:v>Respin BOM SPH0641LU4H-1 recorded at $3.22; T5838 remains an alternative. Prior Adafruit PDM breakout $4.95 is a different assembly.</x:v>
      </x:c>
      <x:c r="I7" s="2"/>
      <x:c r="J7" s="2"/>
    </x:row>
    <x:row r="8" ht="48" customHeight="1">
      <x:c r="A8" s="2"/>
      <x:c r="B8" s="30" t="str">
        <x:v>BMI270 inertial sensor</x:v>
      </x:c>
      <x:c r="C8" s="35" t="n">
        <x:v>1</x:v>
      </x:c>
      <x:c r="D8" s="36" t="n">
        <x:v>4.5</x:v>
      </x:c>
      <x:c r="E8" s="37" t="n">
        <x:f>IF(COUNT(C8:D8)&lt;&gt;2,NA(),C8*D8)</x:f>
        <x:v>4.5</x:v>
      </x:c>
      <x:c r="F8" s="38" t="str">
        <x:v>Spec-based allowance</x:v>
      </x:c>
      <x:c r="G8" s="30"/>
      <x:c r="H8" s="30" t="str">
        <x:v>Pendant v2 §2.1 @1 $4.23. Adafruit LSM6DSOX development breakout $11.95 is a different assembly.</x:v>
      </x:c>
      <x:c r="I8" s="2"/>
      <x:c r="J8" s="2"/>
    </x:row>
    <x:row r="9" ht="48" customHeight="1">
      <x:c r="A9" s="2"/>
      <x:c r="B9" s="30" t="str">
        <x:v>DRV2605L haptic driver IC</x:v>
      </x:c>
      <x:c r="C9" s="35" t="n">
        <x:v>1</x:v>
      </x:c>
      <x:c r="D9" s="36" t="n">
        <x:v>2</x:v>
      </x:c>
      <x:c r="E9" s="37" t="n">
        <x:f>IF(COUNT(C9:D9)&lt;&gt;2,NA(),C9*D9)</x:f>
        <x:v>2</x:v>
      </x:c>
      <x:c r="F9" s="38" t="str">
        <x:v>Spec-based allowance</x:v>
      </x:c>
      <x:c r="G9" s="30"/>
      <x:c r="H9" s="30" t="str">
        <x:v>Pendant v2 §2.1 unverified estimate ~$1.90. Adafruit breakout receipt $7.95.</x:v>
      </x:c>
      <x:c r="I9" s="2"/>
      <x:c r="J9" s="2"/>
    </x:row>
    <x:row r="10" ht="48" customHeight="1">
      <x:c r="A10" s="2"/>
      <x:c r="B10" s="30" t="str">
        <x:v>Haptic actuator</x:v>
      </x:c>
      <x:c r="C10" s="35" t="n">
        <x:v>1</x:v>
      </x:c>
      <x:c r="D10" s="36" t="n">
        <x:v>3</x:v>
      </x:c>
      <x:c r="E10" s="37" t="n">
        <x:f>IF(COUNT(C10:D10)&lt;&gt;2,NA(),C10*D10)</x:f>
        <x:v>3</x:v>
      </x:c>
      <x:c r="F10" s="38" t="str">
        <x:v>Unquoted allowance</x:v>
      </x:c>
      <x:c r="G10" s="30"/>
      <x:c r="H10" s="30" t="str">
        <x:v>Select compatible LRA. Original Adafruit $1.95 vibrating motor is a prototype reference, not final selection.</x:v>
      </x:c>
      <x:c r="I10" s="2"/>
      <x:c r="J10" s="2"/>
    </x:row>
    <x:row r="11" ht="48" customHeight="1">
      <x:c r="A11" s="2"/>
      <x:c r="B11" s="30" t="str">
        <x:v>Touch/squeeze or button input</x:v>
      </x:c>
      <x:c r="C11" s="35" t="n">
        <x:v>1</x:v>
      </x:c>
      <x:c r="D11" s="36" t="n">
        <x:v>2</x:v>
      </x:c>
      <x:c r="E11" s="37" t="n">
        <x:f>IF(COUNT(C11:D11)&lt;&gt;2,NA(),C11*D11)</x:f>
        <x:v>2</x:v>
      </x:c>
      <x:c r="F11" s="38" t="str">
        <x:v>Unquoted allowance</x:v>
      </x:c>
      <x:c r="G11" s="30"/>
      <x:c r="H11" s="30" t="str">
        <x:v>Input sensing not finalized; allowance assumes simple button/polymer sensing, not custom metal sensing.</x:v>
      </x:c>
      <x:c r="I11" s="2"/>
      <x:c r="J11" s="2"/>
    </x:row>
    <x:row r="12" ht="48" customHeight="1">
      <x:c r="A12" s="2"/>
      <x:c r="B12" s="30" t="str">
        <x:v>256 MB serial NAND flash</x:v>
      </x:c>
      <x:c r="C12" s="35" t="n">
        <x:v>1</x:v>
      </x:c>
      <x:c r="D12" s="36" t="n">
        <x:v>18.5</x:v>
      </x:c>
      <x:c r="E12" s="37" t="n">
        <x:f>IF(COUNT(C12:D12)&lt;&gt;2,NA(),C12*D12)</x:f>
        <x:v>18.5</x:v>
      </x:c>
      <x:c r="F12" s="38" t="str">
        <x:v>Spec-based allowance</x:v>
      </x:c>
      <x:c r="G12" s="30"/>
      <x:c r="H12" s="30" t="str">
        <x:v>Pendant v2 §2.1 W25N02KV @1 $18.40, then out of stock. Availability and substitute need confirmation.</x:v>
      </x:c>
      <x:c r="I12" s="2"/>
      <x:c r="J12" s="2"/>
    </x:row>
    <x:row r="13" ht="48" customHeight="1">
      <x:c r="A13" s="2"/>
      <x:c r="B13" s="30" t="str">
        <x:v>Charger/power management IC</x:v>
      </x:c>
      <x:c r="C13" s="35" t="n">
        <x:v>1</x:v>
      </x:c>
      <x:c r="D13" s="36" t="n">
        <x:v>3.5</x:v>
      </x:c>
      <x:c r="E13" s="37" t="n">
        <x:f>IF(COUNT(C13:D13)&lt;&gt;2,NA(),C13*D13)</x:f>
        <x:v>3.5</x:v>
      </x:c>
      <x:c r="F13" s="38" t="str">
        <x:v>Spec-based allowance</x:v>
      </x:c>
      <x:c r="G13" s="30"/>
      <x:c r="H13" s="30" t="str">
        <x:v>Pendant v2 §2.1 nPM1304 @1 $2.95; package and charge current need review.</x:v>
      </x:c>
      <x:c r="I13" s="2"/>
      <x:c r="J13" s="2"/>
    </x:row>
    <x:row r="14" ht="48" customHeight="1">
      <x:c r="A14" s="2"/>
      <x:c r="B14" s="30" t="str">
        <x:v>Protected LiPo battery</x:v>
      </x:c>
      <x:c r="C14" s="35" t="n">
        <x:v>1</x:v>
      </x:c>
      <x:c r="D14" s="36" t="n">
        <x:v>12</x:v>
      </x:c>
      <x:c r="E14" s="37" t="n">
        <x:f>IF(COUNT(C14:D14)&lt;&gt;2,NA(),C14*D14)</x:f>
        <x:v>12</x:v>
      </x:c>
      <x:c r="F14" s="38" t="str">
        <x:v>Unquoted allowance</x:v>
      </x:c>
      <x:c r="G14" s="30"/>
      <x:c r="H14" s="30" t="str">
        <x:v>Pilot stock-cell allowance. Adafruit historical 500 mAh cell $7.95. Round semi-custom cell NRE/MOQ excluded.</x:v>
      </x:c>
      <x:c r="I14" s="2"/>
      <x:c r="J14" s="2"/>
    </x:row>
    <x:row r="15" ht="48" customHeight="1">
      <x:c r="A15" s="2"/>
      <x:c r="B15" s="30" t="str">
        <x:v>Speaker amplifier IC</x:v>
      </x:c>
      <x:c r="C15" s="35" t="n">
        <x:v>1</x:v>
      </x:c>
      <x:c r="D15" s="36" t="n">
        <x:v>4</x:v>
      </x:c>
      <x:c r="E15" s="37" t="n">
        <x:f>IF(COUNT(C15:D15)&lt;&gt;2,NA(),C15*D15)</x:f>
        <x:v>4</x:v>
      </x:c>
      <x:c r="F15" s="38" t="str">
        <x:v>Spec-based allowance</x:v>
      </x:c>
      <x:c r="G15" s="30"/>
      <x:c r="H15" s="30" t="str">
        <x:v>Later respin records MAX98357A at $3.96 @1; prior Adafruit breakout $5.95. Requote stock and packaging.</x:v>
      </x:c>
      <x:c r="I15" s="2"/>
      <x:c r="J15" s="2"/>
    </x:row>
    <x:row r="16" ht="48" customHeight="1">
      <x:c r="A16" s="2"/>
      <x:c r="B16" s="30" t="str">
        <x:v>Small speaker</x:v>
      </x:c>
      <x:c r="C16" s="35" t="n">
        <x:v>1</x:v>
      </x:c>
      <x:c r="D16" s="36" t="n">
        <x:v>4.5</x:v>
      </x:c>
      <x:c r="E16" s="37" t="n">
        <x:f>IF(COUNT(C16:D16)&lt;&gt;2,NA(),C16*D16)</x:f>
        <x:v>4.5</x:v>
      </x:c>
      <x:c r="F16" s="38" t="str">
        <x:v>Spec-based allowance</x:v>
      </x:c>
      <x:c r="G16" s="30"/>
      <x:c r="H16" s="30" t="str">
        <x:v>Respin candidate AS01308MR-2-R recorded at $4.46 @1. Final fit/acoustic selection remains open.</x:v>
      </x:c>
      <x:c r="I16" s="2"/>
      <x:c r="J16" s="2"/>
    </x:row>
    <x:row r="17" ht="48" customHeight="1">
      <x:c r="A17" s="2"/>
      <x:c r="B17" s="30" t="str">
        <x:v>Indicator LEDs</x:v>
      </x:c>
      <x:c r="C17" s="35" t="n">
        <x:v>1</x:v>
      </x:c>
      <x:c r="D17" s="36" t="n">
        <x:v>0.5</x:v>
      </x:c>
      <x:c r="E17" s="37" t="n">
        <x:f>IF(COUNT(C17:D17)&lt;&gt;2,NA(),C17*D17)</x:f>
        <x:v>0.5</x:v>
      </x:c>
      <x:c r="F17" s="38" t="str">
        <x:v>Unquoted allowance</x:v>
      </x:c>
      <x:c r="G17" s="30"/>
      <x:c r="H17" s="30" t="str">
        <x:v>Discrete indicator allowance; current design requires live microphone-state indication.</x:v>
      </x:c>
      <x:c r="I17" s="2"/>
      <x:c r="J17" s="2"/>
    </x:row>
    <x:row r="18" ht="48" customHeight="1">
      <x:c r="A18" s="2"/>
      <x:c r="B18" s="30" t="str">
        <x:v>Antenna and RF matching parts</x:v>
      </x:c>
      <x:c r="C18" s="35" t="n">
        <x:v>1</x:v>
      </x:c>
      <x:c r="D18" s="36" t="n">
        <x:v>0.75</x:v>
      </x:c>
      <x:c r="E18" s="37" t="n">
        <x:f>IF(COUNT(C18:D18)&lt;&gt;2,NA(),C18*D18)</x:f>
        <x:v>0.75</x:v>
      </x:c>
      <x:c r="F18" s="38" t="str">
        <x:v>Unquoted allowance</x:v>
      </x:c>
      <x:c r="G18" s="30"/>
      <x:c r="H18" s="30" t="str">
        <x:v>Pendant v2 antenna estimate ~$0.35 plus matching components; RF layout must be validated.</x:v>
      </x:c>
      <x:c r="I18" s="2"/>
      <x:c r="J18" s="2"/>
    </x:row>
    <x:row r="19" ht="48" customHeight="1">
      <x:c r="A19" s="2"/>
      <x:c r="B19" s="30" t="str">
        <x:v>Device charging contacts</x:v>
      </x:c>
      <x:c r="C19" s="35" t="n">
        <x:v>1</x:v>
      </x:c>
      <x:c r="D19" s="36" t="n">
        <x:v>3</x:v>
      </x:c>
      <x:c r="E19" s="37" t="n">
        <x:f>IF(COUNT(C19:D19)&lt;&gt;2,NA(),C19*D19)</x:f>
        <x:v>3</x:v>
      </x:c>
      <x:c r="F19" s="38" t="str">
        <x:v>Unquoted allowance</x:v>
      </x:c>
      <x:c r="G19" s="30"/>
      <x:c r="H19" s="30" t="str">
        <x:v>Pendant v2 magnetic pogo estimate ~$2.50. Mating cable is included in Manufacturing accessories.</x:v>
      </x:c>
      <x:c r="I19" s="2"/>
      <x:c r="J19" s="2"/>
    </x:row>
    <x:row r="20" ht="48" customHeight="1">
      <x:c r="A20" s="2"/>
      <x:c r="B20" s="30" t="str">
        <x:v>Crystal pair</x:v>
      </x:c>
      <x:c r="C20" s="35" t="n">
        <x:v>1</x:v>
      </x:c>
      <x:c r="D20" s="36" t="n">
        <x:v>1.5</x:v>
      </x:c>
      <x:c r="E20" s="37" t="n">
        <x:f>IF(COUNT(C20:D20)&lt;&gt;2,NA(),C20*D20)</x:f>
        <x:v>1.5</x:v>
      </x:c>
      <x:c r="F20" s="38" t="str">
        <x:v>Unquoted allowance</x:v>
      </x:c>
      <x:c r="G20" s="30"/>
      <x:c r="H20" s="30" t="str">
        <x:v>32 MHz and 32.768 kHz pair, small-lot procurement allowance.</x:v>
      </x:c>
      <x:c r="I20" s="2"/>
      <x:c r="J20" s="2"/>
    </x:row>
    <x:row r="21" ht="48" customHeight="1">
      <x:c r="A21" s="2"/>
      <x:c r="B21" s="30" t="str">
        <x:v>Passives and load switching</x:v>
      </x:c>
      <x:c r="C21" s="35" t="n">
        <x:v>1</x:v>
      </x:c>
      <x:c r="D21" s="36" t="n">
        <x:v>4</x:v>
      </x:c>
      <x:c r="E21" s="37" t="n">
        <x:f>IF(COUNT(C21:D21)&lt;&gt;2,NA(),C21*D21)</x:f>
        <x:v>4</x:v>
      </x:c>
      <x:c r="F21" s="38" t="str">
        <x:v>Unquoted allowance</x:v>
      </x:c>
      <x:c r="G21" s="30"/>
      <x:c r="H21" s="30" t="str">
        <x:v>Caps, resistors, rail switching and bulk storage; subject to completed schematic.</x:v>
      </x:c>
      <x:c r="I21" s="2"/>
      <x:c r="J21" s="2"/>
    </x:row>
    <x:row r="22" ht="48" customHeight="1">
      <x:c r="A22" s="2"/>
      <x:c r="B22" s="30" t="str">
        <x:v>Board connectors/test hardware</x:v>
      </x:c>
      <x:c r="C22" s="35" t="n">
        <x:v>1</x:v>
      </x:c>
      <x:c r="D22" s="36" t="n">
        <x:v>1</x:v>
      </x:c>
      <x:c r="E22" s="37" t="n">
        <x:f>IF(COUNT(C22:D22)&lt;&gt;2,NA(),C22*D22)</x:f>
        <x:v>1</x:v>
      </x:c>
      <x:c r="F22" s="38" t="str">
        <x:v>Unquoted allowance</x:v>
      </x:c>
      <x:c r="G22" s="30"/>
      <x:c r="H22" s="30" t="str">
        <x:v>Small connector/test-interface allowance. External straps and fasteners priced separately.</x:v>
      </x:c>
      <x:c r="I22" s="2"/>
      <x:c r="J22" s="2"/>
    </x:row>
    <x:row r="23" ht="48" customHeight="1">
      <x:c r="A23" s="2"/>
      <x:c r="B23" s="30" t="str">
        <x:v>Physical microphone mute switch</x:v>
      </x:c>
      <x:c r="C23" s="35" t="n">
        <x:v>1</x:v>
      </x:c>
      <x:c r="D23" s="36" t="n">
        <x:v>2</x:v>
      </x:c>
      <x:c r="E23" s="37" t="n">
        <x:f>IF(COUNT(C23:D23)&lt;&gt;2,NA(),C23*D23)</x:f>
        <x:v>2</x:v>
      </x:c>
      <x:c r="F23" s="38" t="str">
        <x:v>Unquoted allowance</x:v>
      </x:c>
      <x:c r="G23" s="30"/>
      <x:c r="H23" s="30" t="str">
        <x:v>Separate from user input button. Respin calls for two-pole isolation; candidate SPDT is insufficient. Final switch/boot quote pending.</x:v>
      </x:c>
      <x:c r="I23" s="2"/>
      <x:c r="J23" s="2"/>
    </x:row>
    <x:row r="24" ht="24" customHeight="1">
      <x:c r="A24" s="2"/>
      <x:c r="B24" s="2"/>
      <x:c r="C24" s="2"/>
      <x:c r="D24" s="11"/>
      <x:c r="E24" s="11"/>
      <x:c r="F24" s="2"/>
      <x:c r="G24" s="2"/>
      <x:c r="H24" s="2"/>
      <x:c r="I24" s="2"/>
      <x:c r="J24" s="2"/>
    </x:row>
    <x:row r="25" ht="24" customHeight="1">
      <x:c r="A25" s="2"/>
      <x:c r="B25" s="17" t="str">
        <x:v>Components per assembled device</x:v>
      </x:c>
      <x:c r="C25" s="17"/>
      <x:c r="D25" s="18"/>
      <x:c r="E25" s="18" t="n">
        <x:f>IF(COUNT(E6:E23)=18,SUM(E6:E23),NA())</x:f>
        <x:v>83.25</x:v>
      </x:c>
      <x:c r="F25" s="17"/>
      <x:c r="G25" s="2"/>
      <x:c r="H25" s="2"/>
      <x:c r="I25" s="2"/>
      <x:c r="J25" s="2"/>
    </x:row>
    <x:row r="26" ht="24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</x:row>
    <x:row r="27" ht="24" customHeight="1">
      <x:c r="A27" s="2"/>
      <x:c r="B27" s="2" t="str">
        <x:v>All forward component prices are estimates, not verified supplier quotes.</x:v>
      </x:c>
      <x:c r="C27" s="2"/>
      <x:c r="D27" s="2"/>
      <x:c r="E27" s="2"/>
      <x:c r="F27" s="2"/>
      <x:c r="G27" s="2"/>
      <x:c r="H27" s="2"/>
      <x:c r="I27" s="2"/>
      <x:c r="J27" s="2"/>
    </x:row>
    <x:row r="28" ht="24" customHeight="1">
      <x:c r="A28" s="2"/>
      <x:c r="B28" s="2" t="str">
        <x:v>Sources: Pendant v2 §2.1 (Aug. 7, 2026), speaker/mute respin BOM §2, and historical receipts in Purchases.</x:v>
      </x:c>
      <x:c r="C28" s="2"/>
      <x:c r="D28" s="2"/>
      <x:c r="E28" s="2"/>
      <x:c r="F28" s="2"/>
      <x:c r="G28" s="2"/>
      <x:c r="H28" s="2"/>
      <x:c r="I28" s="2"/>
      <x:c r="J28" s="2"/>
    </x:row>
    <x:row r="29" ht="24" customHeight="1">
      <x:c r="A29" s="2"/>
      <x:c r="B29" s="2" t="str">
        <x:v>Quantity-100 prices in the old specification are not assumed available for this 36-start pilot.</x:v>
      </x:c>
      <x:c r="C29" s="2"/>
      <x:c r="D29" s="2"/>
      <x:c r="E29" s="2"/>
      <x:c r="F29" s="2"/>
      <x:c r="G29" s="2"/>
      <x:c r="H29" s="2"/>
      <x:c r="I29" s="2"/>
      <x:c r="J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C4B79C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40" hidden="0" customWidth="1"/>
    <x:col min="3" max="3" width="23" hidden="0" customWidth="1"/>
    <x:col min="4" max="4" width="11" hidden="0" customWidth="1"/>
    <x:col min="5" max="5" width="15" hidden="0" customWidth="1"/>
    <x:col min="6" max="6" width="17" hidden="0" customWidth="1"/>
    <x:col min="7" max="7" width="3" hidden="0" customWidth="1"/>
    <x:col min="8" max="8" width="70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4" customHeight="1">
      <x:c r="A2" s="2"/>
      <x:c r="B2" s="3" t="str">
        <x:v>Historical prototype purchases</x:v>
      </x:c>
      <x:c r="C2" s="2"/>
      <x:c r="D2" s="2"/>
      <x:c r="E2" s="2"/>
      <x:c r="F2" s="2"/>
      <x:c r="G2" s="2"/>
      <x:c r="H2" s="2"/>
      <x:c r="I2" s="2"/>
      <x:c r="J2" s="2"/>
    </x:row>
    <x:row r="3" ht="24" customHeight="1">
      <x:c r="A3" s="2"/>
      <x:c r="B3" s="4" t="str">
        <x:v>Receipt actuals · July 2026 · excluded from new funding by default</x:v>
      </x:c>
      <x:c r="C3" s="2"/>
      <x:c r="D3" s="2"/>
      <x:c r="E3" s="2"/>
      <x:c r="F3" s="2"/>
      <x:c r="G3" s="2"/>
      <x:c r="H3" s="2"/>
      <x:c r="I3" s="2"/>
      <x:c r="J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30" customHeight="1">
      <x:c r="A5" s="2"/>
      <x:c r="B5" s="8" t="str">
        <x:v>Receipt / item</x:v>
      </x:c>
      <x:c r="C5" s="8" t="str">
        <x:v>Purchase date</x:v>
      </x:c>
      <x:c r="D5" s="8" t="str">
        <x:v>Quantity</x:v>
      </x:c>
      <x:c r="E5" s="8" t="str">
        <x:v>Unit price</x:v>
      </x:c>
      <x:c r="F5" s="8" t="str">
        <x:v>Amount</x:v>
      </x:c>
      <x:c r="G5" s="2"/>
      <x:c r="H5" s="2"/>
      <x:c r="I5" s="2"/>
      <x:c r="J5" s="2"/>
    </x:row>
    <x:row r="6" ht="24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</x:row>
    <x:row r="7" ht="28" customHeight="1">
      <x:c r="A7" s="2"/>
      <x:c r="B7" s="25" t="str">
        <x:v>Adafruit invoice 3705537</x:v>
      </x:c>
      <x:c r="C7" s="25"/>
      <x:c r="D7" s="25"/>
      <x:c r="E7" s="25"/>
      <x:c r="F7" s="25"/>
      <x:c r="G7" s="2"/>
      <x:c r="H7" s="2"/>
      <x:c r="I7" s="2"/>
      <x:c r="J7" s="2"/>
    </x:row>
    <x:row r="8" ht="38" customHeight="1">
      <x:c r="A8" s="2"/>
      <x:c r="B8" s="30" t="str">
        <x:v>I2S 3W Class D Amplifier Breakout - MAX98357A</x:v>
      </x:c>
      <x:c r="C8" s="48" t="n">
        <x:v>46205.5</x:v>
      </x:c>
      <x:c r="D8" s="30" t="n">
        <x:v>1</x:v>
      </x:c>
      <x:c r="E8" s="37" t="n">
        <x:v>5.95</x:v>
      </x:c>
      <x:c r="F8" s="37" t="n">
        <x:f>D8*E8</x:f>
        <x:v>5.95</x:v>
      </x:c>
      <x:c r="G8" s="30"/>
      <x:c r="H8" s="30" t="str">
        <x:v>innovoice.webarchive; Adafruit #3006. Historical actual, not a current quote.</x:v>
      </x:c>
      <x:c r="I8" s="2"/>
      <x:c r="J8" s="2"/>
    </x:row>
    <x:row r="9" ht="38" customHeight="1">
      <x:c r="A9" s="2"/>
      <x:c r="B9" s="30" t="str">
        <x:v>PDM MEMS Microphone Breakout</x:v>
      </x:c>
      <x:c r="C9" s="48" t="n">
        <x:v>46205.5</x:v>
      </x:c>
      <x:c r="D9" s="30" t="n">
        <x:v>1</x:v>
      </x:c>
      <x:c r="E9" s="37" t="n">
        <x:v>4.95</x:v>
      </x:c>
      <x:c r="F9" s="37" t="n">
        <x:f>D9*E9</x:f>
        <x:v>4.95</x:v>
      </x:c>
      <x:c r="G9" s="30"/>
      <x:c r="H9" s="30" t="str">
        <x:v>innovoice.webarchive; Adafruit #3492. Historical actual, not a current quote.</x:v>
      </x:c>
      <x:c r="I9" s="2"/>
      <x:c r="J9" s="2"/>
    </x:row>
    <x:row r="10" ht="38" customHeight="1">
      <x:c r="A10" s="2"/>
      <x:c r="B10" s="30" t="str">
        <x:v>DRV2605L Haptic Motor Controller Breakout</x:v>
      </x:c>
      <x:c r="C10" s="48" t="n">
        <x:v>46205.5</x:v>
      </x:c>
      <x:c r="D10" s="30" t="n">
        <x:v>1</x:v>
      </x:c>
      <x:c r="E10" s="37" t="n">
        <x:v>7.95</x:v>
      </x:c>
      <x:c r="F10" s="37" t="n">
        <x:f>D10*E10</x:f>
        <x:v>7.95</x:v>
      </x:c>
      <x:c r="G10" s="30"/>
      <x:c r="H10" s="30" t="str">
        <x:v>innovoice.webarchive; Adafruit #2305. Historical actual, not a current quote.</x:v>
      </x:c>
      <x:c r="I10" s="2"/>
      <x:c r="J10" s="2"/>
    </x:row>
    <x:row r="11" ht="38" customHeight="1">
      <x:c r="A11" s="2"/>
      <x:c r="B11" s="30" t="str">
        <x:v>Vibrating Mini Motor Disc</x:v>
      </x:c>
      <x:c r="C11" s="48" t="n">
        <x:v>46205.5</x:v>
      </x:c>
      <x:c r="D11" s="30" t="n">
        <x:v>1</x:v>
      </x:c>
      <x:c r="E11" s="37" t="n">
        <x:v>1.95</x:v>
      </x:c>
      <x:c r="F11" s="37" t="n">
        <x:f>D11*E11</x:f>
        <x:v>1.95</x:v>
      </x:c>
      <x:c r="G11" s="30"/>
      <x:c r="H11" s="30" t="str">
        <x:v>innovoice.webarchive; Adafruit #1201. Historical actual, not a current quote.</x:v>
      </x:c>
      <x:c r="I11" s="2"/>
      <x:c r="J11" s="2"/>
    </x:row>
    <x:row r="12" ht="38" customHeight="1">
      <x:c r="A12" s="2"/>
      <x:c r="B12" s="30" t="str">
        <x:v>Lithium Ion Polymer Battery 3.7V 500mAh</x:v>
      </x:c>
      <x:c r="C12" s="48" t="n">
        <x:v>46205.5</x:v>
      </x:c>
      <x:c r="D12" s="30" t="n">
        <x:v>1</x:v>
      </x:c>
      <x:c r="E12" s="37" t="n">
        <x:v>7.95</x:v>
      </x:c>
      <x:c r="F12" s="37" t="n">
        <x:f>D12*E12</x:f>
        <x:v>7.95</x:v>
      </x:c>
      <x:c r="G12" s="30"/>
      <x:c r="H12" s="30" t="str">
        <x:v>innovoice.webarchive; Adafruit #1578. Historical actual, not a current quote.</x:v>
      </x:c>
      <x:c r="I12" s="2"/>
      <x:c r="J12" s="2"/>
    </x:row>
    <x:row r="13" ht="38" customHeight="1">
      <x:c r="A13" s="2"/>
      <x:c r="B13" s="30" t="str">
        <x:v>Mini Oval Speaker 8 Ohm 1 Watt</x:v>
      </x:c>
      <x:c r="C13" s="48" t="n">
        <x:v>46205.5</x:v>
      </x:c>
      <x:c r="D13" s="30" t="n">
        <x:v>1</x:v>
      </x:c>
      <x:c r="E13" s="37" t="n">
        <x:v>1.95</x:v>
      </x:c>
      <x:c r="F13" s="37" t="n">
        <x:f>D13*E13</x:f>
        <x:v>1.95</x:v>
      </x:c>
      <x:c r="G13" s="30"/>
      <x:c r="H13" s="30" t="str">
        <x:v>innovoice.webarchive; Adafruit #3923. Historical actual, not a current quote.</x:v>
      </x:c>
      <x:c r="I13" s="2"/>
      <x:c r="J13" s="2"/>
    </x:row>
    <x:row r="14" ht="38" customHeight="1">
      <x:c r="A14" s="2"/>
      <x:c r="B14" s="30" t="str">
        <x:v>LSM6DSOX 6 DoF Accelerometer and Gyroscope Breakout</x:v>
      </x:c>
      <x:c r="C14" s="48" t="n">
        <x:v>46205.5</x:v>
      </x:c>
      <x:c r="D14" s="30" t="n">
        <x:v>1</x:v>
      </x:c>
      <x:c r="E14" s="37" t="n">
        <x:v>11.95</x:v>
      </x:c>
      <x:c r="F14" s="37" t="n">
        <x:f>D14*E14</x:f>
        <x:v>11.95</x:v>
      </x:c>
      <x:c r="G14" s="30"/>
      <x:c r="H14" s="30" t="str">
        <x:v>innovoice.webarchive; Adafruit #4438. Historical actual, not a current quote.</x:v>
      </x:c>
      <x:c r="I14" s="2"/>
      <x:c r="J14" s="2"/>
    </x:row>
    <x:row r="15" ht="38" customHeight="1">
      <x:c r="A15" s="2"/>
      <x:c r="B15" s="30" t="str">
        <x:v>Shipping</x:v>
      </x:c>
      <x:c r="C15" s="48"/>
      <x:c r="D15" s="30"/>
      <x:c r="E15" s="37"/>
      <x:c r="F15" s="37" t="n">
        <x:v>18.36</x:v>
      </x:c>
      <x:c r="G15" s="30"/>
      <x:c r="H15" s="30"/>
      <x:c r="I15" s="2"/>
      <x:c r="J15" s="2"/>
    </x:row>
    <x:row r="16" ht="38" customHeight="1">
      <x:c r="A16" s="2"/>
      <x:c r="B16" s="30" t="str">
        <x:v>Tariffs</x:v>
      </x:c>
      <x:c r="C16" s="48"/>
      <x:c r="D16" s="30"/>
      <x:c r="E16" s="37"/>
      <x:c r="F16" s="37" t="n">
        <x:v>0</x:v>
      </x:c>
      <x:c r="G16" s="30"/>
      <x:c r="H16" s="30"/>
      <x:c r="I16" s="2"/>
      <x:c r="J16" s="2"/>
    </x:row>
    <x:row r="17" ht="38" customHeight="1">
      <x:c r="A17" s="2"/>
      <x:c r="B17" s="30" t="str">
        <x:v>Sales tax</x:v>
      </x:c>
      <x:c r="C17" s="48"/>
      <x:c r="D17" s="30"/>
      <x:c r="E17" s="37"/>
      <x:c r="F17" s="37" t="n">
        <x:v>3.36</x:v>
      </x:c>
      <x:c r="G17" s="30"/>
      <x:c r="H17" s="30"/>
      <x:c r="I17" s="2"/>
      <x:c r="J17" s="2"/>
    </x:row>
    <x:row r="18" ht="38" customHeight="1">
      <x:c r="A18" s="2"/>
      <x:c r="B18" s="40" t="str">
        <x:v>Invoice total</x:v>
      </x:c>
      <x:c r="C18" s="49"/>
      <x:c r="D18" s="40"/>
      <x:c r="E18" s="50"/>
      <x:c r="F18" s="50" t="n">
        <x:f>SUM(F8:F17)</x:f>
        <x:v>64.37</x:v>
      </x:c>
      <x:c r="G18" s="30"/>
      <x:c r="H18" s="30"/>
      <x:c r="I18" s="2"/>
      <x:c r="J18" s="2"/>
    </x:row>
    <x:row r="19" ht="38" customHeight="1">
      <x:c r="A19" s="2"/>
      <x:c r="B19" s="30"/>
      <x:c r="C19" s="48"/>
      <x:c r="D19" s="30"/>
      <x:c r="E19" s="37"/>
      <x:c r="F19" s="37"/>
      <x:c r="G19" s="30"/>
      <x:c r="H19" s="30"/>
      <x:c r="I19" s="2"/>
      <x:c r="J19" s="2"/>
    </x:row>
    <x:row r="20" ht="38" customHeight="1">
      <x:c r="A20" s="2"/>
      <x:c r="B20" s="41" t="str">
        <x:v>DigiKey invoice 128558494</x:v>
      </x:c>
      <x:c r="C20" s="51"/>
      <x:c r="D20" s="41"/>
      <x:c r="E20" s="52"/>
      <x:c r="F20" s="52"/>
      <x:c r="G20" s="30"/>
      <x:c r="H20" s="30"/>
      <x:c r="I20" s="2"/>
      <x:c r="J20" s="2"/>
    </x:row>
    <x:row r="21" ht="38" customHeight="1">
      <x:c r="A21" s="2"/>
      <x:c r="B21" s="30" t="str">
        <x:v>Nordic nRF9160 Development Kit</x:v>
      </x:c>
      <x:c r="C21" s="48" t="n">
        <x:v>46205.5</x:v>
      </x:c>
      <x:c r="D21" s="30" t="n">
        <x:v>1</x:v>
      </x:c>
      <x:c r="E21" s="37" t="n">
        <x:v>179.8</x:v>
      </x:c>
      <x:c r="F21" s="37" t="n">
        <x:f>D21*E21</x:f>
        <x:v>179.8</x:v>
      </x:c>
      <x:c r="G21" s="30"/>
      <x:c r="H21" s="30" t="str">
        <x:v>DK_INVOICE_128558494.pdf; NRF9160-DK-ND. Historical actual, not a current quote.</x:v>
      </x:c>
      <x:c r="I21" s="2"/>
      <x:c r="J21" s="2"/>
    </x:row>
    <x:row r="22" ht="38" customHeight="1">
      <x:c r="A22" s="2"/>
      <x:c r="B22" s="30" t="str">
        <x:v>Shipping</x:v>
      </x:c>
      <x:c r="C22" s="48"/>
      <x:c r="D22" s="30"/>
      <x:c r="E22" s="37"/>
      <x:c r="F22" s="37" t="n">
        <x:v>4.99</x:v>
      </x:c>
      <x:c r="G22" s="30"/>
      <x:c r="H22" s="30"/>
      <x:c r="I22" s="2"/>
      <x:c r="J22" s="2"/>
    </x:row>
    <x:row r="23" ht="38" customHeight="1">
      <x:c r="A23" s="2"/>
      <x:c r="B23" s="30" t="str">
        <x:v>Tariffs</x:v>
      </x:c>
      <x:c r="C23" s="48"/>
      <x:c r="D23" s="30"/>
      <x:c r="E23" s="37"/>
      <x:c r="F23" s="37" t="n">
        <x:v>14.38</x:v>
      </x:c>
      <x:c r="G23" s="30"/>
      <x:c r="H23" s="30"/>
      <x:c r="I23" s="2"/>
      <x:c r="J23" s="2"/>
    </x:row>
    <x:row r="24" ht="38" customHeight="1">
      <x:c r="A24" s="2"/>
      <x:c r="B24" s="30" t="str">
        <x:v>Sales tax</x:v>
      </x:c>
      <x:c r="C24" s="48"/>
      <x:c r="D24" s="30"/>
      <x:c r="E24" s="37"/>
      <x:c r="F24" s="37" t="n">
        <x:v>10.95</x:v>
      </x:c>
      <x:c r="G24" s="30"/>
      <x:c r="H24" s="30"/>
      <x:c r="I24" s="2"/>
      <x:c r="J24" s="2"/>
    </x:row>
    <x:row r="25" ht="38" customHeight="1">
      <x:c r="A25" s="2"/>
      <x:c r="B25" s="40" t="str">
        <x:v>Invoice total</x:v>
      </x:c>
      <x:c r="C25" s="49"/>
      <x:c r="D25" s="40"/>
      <x:c r="E25" s="50"/>
      <x:c r="F25" s="50" t="n">
        <x:f>SUM(F21:F24)</x:f>
        <x:v>210.12</x:v>
      </x:c>
      <x:c r="G25" s="30"/>
      <x:c r="H25" s="30"/>
      <x:c r="I25" s="2"/>
      <x:c r="J25" s="2"/>
    </x:row>
    <x:row r="26" ht="38" customHeight="1">
      <x:c r="A26" s="2"/>
      <x:c r="B26" s="30"/>
      <x:c r="C26" s="48"/>
      <x:c r="D26" s="30"/>
      <x:c r="E26" s="37"/>
      <x:c r="F26" s="37"/>
      <x:c r="G26" s="30"/>
      <x:c r="H26" s="30"/>
      <x:c r="I26" s="2"/>
      <x:c r="J26" s="2"/>
    </x:row>
    <x:row r="27" ht="38" customHeight="1">
      <x:c r="A27" s="2"/>
      <x:c r="B27" s="41" t="str">
        <x:v>DigiKey invoice 128923808</x:v>
      </x:c>
      <x:c r="C27" s="51"/>
      <x:c r="D27" s="41"/>
      <x:c r="E27" s="52"/>
      <x:c r="F27" s="52"/>
      <x:c r="G27" s="30"/>
      <x:c r="H27" s="30"/>
      <x:c r="I27" s="2"/>
      <x:c r="J27" s="2"/>
    </x:row>
    <x:row r="28" ht="38" customHeight="1">
      <x:c r="A28" s="2"/>
      <x:c r="B28" s="30" t="str">
        <x:v>Adafruit HUZZAH32 ESP32 Feather Loose Headers</x:v>
      </x:c>
      <x:c r="C28" s="48" t="n">
        <x:v>46212.5</x:v>
      </x:c>
      <x:c r="D28" s="30" t="n">
        <x:v>1</x:v>
      </x:c>
      <x:c r="E28" s="37" t="n">
        <x:v>19.95</x:v>
      </x:c>
      <x:c r="F28" s="37" t="n">
        <x:f>D28*E28</x:f>
        <x:v>19.95</x:v>
      </x:c>
      <x:c r="G28" s="30"/>
      <x:c r="H28" s="30" t="str">
        <x:v>DK_INVOICE_128923808.pdf; 1528-2181-ND. Historical actual, not a current quote.</x:v>
      </x:c>
      <x:c r="I28" s="2"/>
      <x:c r="J28" s="2"/>
    </x:row>
    <x:row r="29" ht="38" customHeight="1">
      <x:c r="A29" s="2"/>
      <x:c r="B29" s="30" t="str">
        <x:v>Adafruit MicroSD Card Breakout 5V or 3V</x:v>
      </x:c>
      <x:c r="C29" s="48" t="n">
        <x:v>46212.5</x:v>
      </x:c>
      <x:c r="D29" s="30" t="n">
        <x:v>1</x:v>
      </x:c>
      <x:c r="E29" s="37" t="n">
        <x:v>7.5</x:v>
      </x:c>
      <x:c r="F29" s="37" t="n">
        <x:f>D29*E29</x:f>
        <x:v>7.5</x:v>
      </x:c>
      <x:c r="G29" s="30"/>
      <x:c r="H29" s="30" t="str">
        <x:v>DK_INVOICE_128923808.pdf; 1528-1462-ND. Historical actual, not a current quote.</x:v>
      </x:c>
      <x:c r="I29" s="2"/>
      <x:c r="J29" s="2"/>
    </x:row>
    <x:row r="30" ht="38" customHeight="1">
      <x:c r="A30" s="2"/>
      <x:c r="B30" s="30" t="str">
        <x:v>DFRobot MicroSD Card 64GB Class 10</x:v>
      </x:c>
      <x:c r="C30" s="48" t="n">
        <x:v>46212.5</x:v>
      </x:c>
      <x:c r="D30" s="30" t="n">
        <x:v>1</x:v>
      </x:c>
      <x:c r="E30" s="37" t="n">
        <x:v>18.9</x:v>
      </x:c>
      <x:c r="F30" s="37" t="n">
        <x:f>D30*E30</x:f>
        <x:v>18.9</x:v>
      </x:c>
      <x:c r="G30" s="30"/>
      <x:c r="H30" s="30" t="str">
        <x:v>DK_INVOICE_128923808.pdf; 1738-FIT0642-ND. Historical actual, not a current quote.</x:v>
      </x:c>
      <x:c r="I30" s="2"/>
      <x:c r="J30" s="2"/>
    </x:row>
    <x:row r="31" ht="38" customHeight="1">
      <x:c r="A31" s="2"/>
      <x:c r="B31" s="30" t="str">
        <x:v>Shipping</x:v>
      </x:c>
      <x:c r="C31" s="48"/>
      <x:c r="D31" s="30"/>
      <x:c r="E31" s="37"/>
      <x:c r="F31" s="37" t="n">
        <x:v>4.99</x:v>
      </x:c>
      <x:c r="G31" s="30"/>
      <x:c r="H31" s="30"/>
      <x:c r="I31" s="2"/>
      <x:c r="J31" s="2"/>
    </x:row>
    <x:row r="32" ht="38" customHeight="1">
      <x:c r="A32" s="2"/>
      <x:c r="B32" s="30" t="str">
        <x:v>Tariffs</x:v>
      </x:c>
      <x:c r="C32" s="48"/>
      <x:c r="D32" s="30"/>
      <x:c r="E32" s="37"/>
      <x:c r="F32" s="37" t="n">
        <x:v>2.79</x:v>
      </x:c>
      <x:c r="G32" s="30"/>
      <x:c r="H32" s="30"/>
      <x:c r="I32" s="2"/>
      <x:c r="J32" s="2"/>
    </x:row>
    <x:row r="33" ht="38" customHeight="1">
      <x:c r="A33" s="2"/>
      <x:c r="B33" s="30" t="str">
        <x:v>Sales tax</x:v>
      </x:c>
      <x:c r="C33" s="48"/>
      <x:c r="D33" s="30"/>
      <x:c r="E33" s="37"/>
      <x:c r="F33" s="37" t="n">
        <x:v>2.98</x:v>
      </x:c>
      <x:c r="G33" s="30"/>
      <x:c r="H33" s="30"/>
      <x:c r="I33" s="2"/>
      <x:c r="J33" s="2"/>
    </x:row>
    <x:row r="34" ht="38" customHeight="1">
      <x:c r="A34" s="2"/>
      <x:c r="B34" s="40" t="str">
        <x:v>Invoice total</x:v>
      </x:c>
      <x:c r="C34" s="49"/>
      <x:c r="D34" s="40"/>
      <x:c r="E34" s="50"/>
      <x:c r="F34" s="50" t="n">
        <x:f>SUM(F28:F33)</x:f>
        <x:v>57.10999999999999</x:v>
      </x:c>
      <x:c r="G34" s="30"/>
      <x:c r="H34" s="30"/>
      <x:c r="I34" s="2"/>
      <x:c r="J34" s="2"/>
    </x:row>
    <x:row r="35" ht="38" customHeight="1">
      <x:c r="A35" s="2"/>
      <x:c r="B35" s="30"/>
      <x:c r="C35" s="48"/>
      <x:c r="D35" s="30"/>
      <x:c r="E35" s="37"/>
      <x:c r="F35" s="37"/>
      <x:c r="G35" s="30"/>
      <x:c r="H35" s="30"/>
      <x:c r="I35" s="2"/>
      <x:c r="J35" s="2"/>
    </x:row>
    <x:row r="36" ht="38" customHeight="1">
      <x:c r="A36" s="2"/>
      <x:c r="B36" s="40" t="str">
        <x:v>Total documented prior spending</x:v>
      </x:c>
      <x:c r="C36" s="49"/>
      <x:c r="D36" s="40"/>
      <x:c r="E36" s="50"/>
      <x:c r="F36" s="50" t="n">
        <x:f>F18+F25+F34</x:f>
        <x:v>331.6</x:v>
      </x:c>
      <x:c r="G36" s="30"/>
      <x:c r="H36" s="30"/>
      <x:c r="I36" s="2"/>
      <x:c r="J36" s="2"/>
    </x:row>
    <x:row r="37" ht="24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</x:row>
    <x:row r="38" ht="32" customHeight="1">
      <x:c r="A38" s="2"/>
      <x:c r="B38" s="30" t="str">
        <x:v>Receipts support development history. Ownership, reimbursement eligibility and remaining usable inventory are not inferred.</x:v>
      </x:c>
      <x:c r="C38" s="30"/>
      <x:c r="D38" s="30"/>
      <x:c r="E38" s="30"/>
      <x:c r="F38" s="30"/>
      <x:c r="G38" s="30"/>
      <x:c r="H38" s="30"/>
      <x:c r="I38" s="2"/>
      <x:c r="J38" s="2"/>
    </x:row>
    <x:row r="39" ht="24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</x:row>
    <x:row r="40" ht="24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</x:row>
  </x:sheetData>
  <x:mergeCells>
    <x:mergeCell ref="B38:H38"/>
  </x:mergeCells>
  <x:pageMargins left="0.7" right="0.7" top="0.75" bottom="0.75" header="0.3" footer="0.3"/>
</x:worksheet>
</file>