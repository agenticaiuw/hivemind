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 BOM" sheetId="1" state="visible" r:id="rId3"/>
    <sheet name="Project budg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<sst xmlns="http://schemas.openxmlformats.org/spreadsheetml/2006/main" count="158" uniqueCount="143">
  <si>
    <t xml:space="preserve">Agentic Voice Wearable — Per-device Bill of Materials</t>
  </si>
  <si>
    <t xml:space="preserve">Components for one device. Prices are mid-2026 indicative (USD); verify live at order time. Blue = input, black = formula.</t>
  </si>
  <si>
    <t xml:space="preserve">#</t>
  </si>
  <si>
    <t xml:space="preserve">Category</t>
  </si>
  <si>
    <t xml:space="preserve">Function</t>
  </si>
  <si>
    <t xml:space="preserve">Manufacturer</t>
  </si>
  <si>
    <t xml:space="preserve">Mfr part no.</t>
  </si>
  <si>
    <t xml:space="preserve">Supplier</t>
  </si>
  <si>
    <t xml:space="preserve">Supplier PN</t>
  </si>
  <si>
    <t xml:space="preserve">Qty</t>
  </si>
  <si>
    <t xml:space="preserve">Unit $</t>
  </si>
  <si>
    <t xml:space="preserve">Ext $</t>
  </si>
  <si>
    <t xml:space="preserve">Stock / lead</t>
  </si>
  <si>
    <t xml:space="preserve">Notes</t>
  </si>
  <si>
    <t xml:space="preserve">Cellular brain</t>
  </si>
  <si>
    <t xml:space="preserve">LTE-M modem + Cortex-M33</t>
  </si>
  <si>
    <t xml:space="preserve">Actinius</t>
  </si>
  <si>
    <t xml:space="preserve">Icarus SoM</t>
  </si>
  <si>
    <t xml:space="preserve">Adafruit 4753 / Actinius</t>
  </si>
  <si>
    <t xml:space="preserve">ICR-SOM</t>
  </si>
  <si>
    <t xml:space="preserve">Order day 1; keep a spare. On-board eSIM + u.FL</t>
  </si>
  <si>
    <t xml:space="preserve">Microphone</t>
  </si>
  <si>
    <t xml:space="preserve">Voice capture (PDM)</t>
  </si>
  <si>
    <t xml:space="preserve">TDK InvenSense</t>
  </si>
  <si>
    <t xml:space="preserve">T5837 (MMICT5837-00-012)</t>
  </si>
  <si>
    <t xml:space="preserve">DigiKey</t>
  </si>
  <si>
    <t xml:space="preserve">16903859</t>
  </si>
  <si>
    <t xml:space="preserve">PDM mic; I2S hobby mics are EOL</t>
  </si>
  <si>
    <t xml:space="preserve">Audio amp</t>
  </si>
  <si>
    <t xml:space="preserve">Speaker driver (I2S in)</t>
  </si>
  <si>
    <t xml:space="preserve">Analog Devices</t>
  </si>
  <si>
    <t xml:space="preserve">MAX98357AETE+T</t>
  </si>
  <si>
    <t xml:space="preserve">4936122</t>
  </si>
  <si>
    <t xml:space="preserve">Class-D; no separate codec needed</t>
  </si>
  <si>
    <t xml:space="preserve">Speaker</t>
  </si>
  <si>
    <t xml:space="preserve">Voice out</t>
  </si>
  <si>
    <t xml:space="preserve">PUI Audio</t>
  </si>
  <si>
    <t xml:space="preserve">AS01808MR-R</t>
  </si>
  <si>
    <t xml:space="preserve">1745511</t>
  </si>
  <si>
    <t xml:space="preserve">Thin micro-speaker; top-face mount</t>
  </si>
  <si>
    <t xml:space="preserve">Haptic driver</t>
  </si>
  <si>
    <t xml:space="preserve">Buzz control (I2C)</t>
  </si>
  <si>
    <t xml:space="preserve">Texas Instruments</t>
  </si>
  <si>
    <t xml:space="preserve">DRV2605LDGSR</t>
  </si>
  <si>
    <t xml:space="preserve">5177909</t>
  </si>
  <si>
    <t xml:space="preserve">Use VSSOP (not BGA)</t>
  </si>
  <si>
    <t xml:space="preserve">Haptic motor</t>
  </si>
  <si>
    <t xml:space="preserve">Vibration (LRA)</t>
  </si>
  <si>
    <t xml:space="preserve">Vybronics</t>
  </si>
  <si>
    <t xml:space="preserve">VLV101040A</t>
  </si>
  <si>
    <t xml:space="preserve">12323590</t>
  </si>
  <si>
    <t xml:space="preserve">Crisp buzz; ERM is cheaper alt</t>
  </si>
  <si>
    <t xml:space="preserve">Notification LED</t>
  </si>
  <si>
    <t xml:space="preserve">RGB notify</t>
  </si>
  <si>
    <t xml:space="preserve">Worldsemi</t>
  </si>
  <si>
    <t xml:space="preserve">SK6812 / NeoPixel</t>
  </si>
  <si>
    <t xml:space="preserve">DigiKey/Adafruit</t>
  </si>
  <si>
    <t xml:space="preserve">NeoPixel</t>
  </si>
  <si>
    <t xml:space="preserve">Addressable; 3 pads to wire</t>
  </si>
  <si>
    <t xml:space="preserve">Button</t>
  </si>
  <si>
    <t xml:space="preserve">User control</t>
  </si>
  <si>
    <t xml:space="preserve">Omron</t>
  </si>
  <si>
    <t xml:space="preserve">B3F-1000</t>
  </si>
  <si>
    <t xml:space="preserve">SW400-ND</t>
  </si>
  <si>
    <t xml:space="preserve">Light-action tactile</t>
  </si>
  <si>
    <t xml:space="preserve">Battery</t>
  </si>
  <si>
    <t xml:space="preserve">Power</t>
  </si>
  <si>
    <t xml:space="preserve">Generic LiPo</t>
  </si>
  <si>
    <t xml:space="preserve">503035 ~500mAh</t>
  </si>
  <si>
    <t xml:space="preserve">Adafruit</t>
  </si>
  <si>
    <t xml:space="preserve">1578</t>
  </si>
  <si>
    <t xml:space="preserve">JST-PH, protected; 400-500mAh</t>
  </si>
  <si>
    <t xml:space="preserve">Charger IC</t>
  </si>
  <si>
    <t xml:space="preserve">USB charging</t>
  </si>
  <si>
    <t xml:space="preserve">Microchip</t>
  </si>
  <si>
    <t xml:space="preserve">MCP73831T-2ACI/OT</t>
  </si>
  <si>
    <t xml:space="preserve">839-1041-1-ND</t>
  </si>
  <si>
    <t xml:space="preserve">BQ24074 if power-path wanted</t>
  </si>
  <si>
    <t xml:space="preserve">USB-C</t>
  </si>
  <si>
    <t xml:space="preserve">Charge connector</t>
  </si>
  <si>
    <t xml:space="preserve">GCT</t>
  </si>
  <si>
    <t xml:space="preserve">USB4085-GF-A</t>
  </si>
  <si>
    <t xml:space="preserve">2073-USB4085-GF-A-ND</t>
  </si>
  <si>
    <t xml:space="preserve">Through-hole = easiest to solder</t>
  </si>
  <si>
    <t xml:space="preserve">Antenna</t>
  </si>
  <si>
    <t xml:space="preserve">LTE-M radiator</t>
  </si>
  <si>
    <t xml:space="preserve">Molex</t>
  </si>
  <si>
    <t xml:space="preserve">2091420180 (flex)</t>
  </si>
  <si>
    <t xml:space="preserve">WM26399-ND</t>
  </si>
  <si>
    <t xml:space="preserve">u.FL flexible; no tuning</t>
  </si>
  <si>
    <t xml:space="preserve">Antenna cable</t>
  </si>
  <si>
    <t xml:space="preserve">u.FL pigtail</t>
  </si>
  <si>
    <t xml:space="preserve">Generic</t>
  </si>
  <si>
    <t xml:space="preserve">u.FL to u.FL</t>
  </si>
  <si>
    <t xml:space="preserve">—</t>
  </si>
  <si>
    <t xml:space="preserve">Module has on-board u.FL</t>
  </si>
  <si>
    <t xml:space="preserve">Connector</t>
  </si>
  <si>
    <t xml:space="preserve">Battery header</t>
  </si>
  <si>
    <t xml:space="preserve">JST</t>
  </si>
  <si>
    <t xml:space="preserve">S2B-PH-K-S</t>
  </si>
  <si>
    <t xml:space="preserve">455-1719-ND</t>
  </si>
  <si>
    <t xml:space="preserve">2.0mm PH</t>
  </si>
  <si>
    <t xml:space="preserve">Passives</t>
  </si>
  <si>
    <t xml:space="preserve">Caps/resistors/bulk cap</t>
  </si>
  <si>
    <t xml:space="preserve">Various</t>
  </si>
  <si>
    <t xml:space="preserve">0402/0603 + 100uF bulk</t>
  </si>
  <si>
    <t xml:space="preserve">assorted</t>
  </si>
  <si>
    <t xml:space="preserve">Incl. decoupling for TX bursts</t>
  </si>
  <si>
    <t xml:space="preserve">IMU (optional)</t>
  </si>
  <si>
    <t xml:space="preserve">Steps/sleep</t>
  </si>
  <si>
    <t xml:space="preserve">STMicro</t>
  </si>
  <si>
    <t xml:space="preserve">LSM6DSOTR</t>
  </si>
  <si>
    <t xml:space="preserve">497-18181-1-ND</t>
  </si>
  <si>
    <t xml:space="preserve">Defer to v2</t>
  </si>
  <si>
    <t xml:space="preserve">Per-device total</t>
  </si>
  <si>
    <t xml:space="preserve">Note: excludes IMU if not populated. One-time costs (dev kits, PCB fab, services) are on the 'Project budget' sheet.</t>
  </si>
  <si>
    <t xml:space="preserve">Project budget — 5-week prototype</t>
  </si>
  <si>
    <t xml:space="preserve">Total spend for the build (not per device). Low/high ranges; verify live.</t>
  </si>
  <si>
    <t xml:space="preserve">Item</t>
  </si>
  <si>
    <t xml:space="preserve">Detail</t>
  </si>
  <si>
    <t xml:space="preserve">Low $ (line)</t>
  </si>
  <si>
    <t xml:space="preserve">High $ (line)</t>
  </si>
  <si>
    <t xml:space="preserve">Order by</t>
  </si>
  <si>
    <t xml:space="preserve">Development kit</t>
  </si>
  <si>
    <t xml:space="preserve">nRF9160 DK / Thingy:91 X / Icarus board</t>
  </si>
  <si>
    <t xml:space="preserve">Day 1</t>
  </si>
  <si>
    <t xml:space="preserve">Icarus SoM (incl. spares)</t>
  </si>
  <si>
    <t xml:space="preserve">Brain modules (3 ×)</t>
  </si>
  <si>
    <t xml:space="preserve">Other components</t>
  </si>
  <si>
    <t xml:space="preserve">~5 sets of the device BOM</t>
  </si>
  <si>
    <t xml:space="preserve">Week 3</t>
  </si>
  <si>
    <t xml:space="preserve">PCB + stencil</t>
  </si>
  <si>
    <t xml:space="preserve">5 boards, DHL express (JLCPCB)</t>
  </si>
  <si>
    <t xml:space="preserve">End week 3</t>
  </si>
  <si>
    <t xml:space="preserve">Cellular SIM + data</t>
  </si>
  <si>
    <t xml:space="preserve">Onomondo/Hologram/1NCE</t>
  </si>
  <si>
    <t xml:space="preserve">Cloud APIs (dev)</t>
  </si>
  <si>
    <t xml:space="preserve">STT + TTS + Claude usage</t>
  </si>
  <si>
    <t xml:space="preserve">Week 1</t>
  </si>
  <si>
    <t xml:space="preserve">3D-print filament</t>
  </si>
  <si>
    <t xml:space="preserve">Enclosure (makerspace)</t>
  </si>
  <si>
    <t xml:space="preserve">Week 4</t>
  </si>
  <si>
    <t xml:space="preserve">Estimated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</si>
</sst>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34AB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F1EFF9"/>
        <bgColor rgb="FFE1F5EE"/>
      </patternFill>
    </fill>
    <fill>
      <patternFill patternType="solid">
        <fgColor rgb="FFE1F5EE"/>
        <bgColor rgb="FFF1EF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5EC"/>
      </left>
      <right style="thin">
        <color rgb="FFD8D5EC"/>
      </right>
      <top style="thin">
        <color rgb="FFD8D5EC"/>
      </top>
      <bottom style="thin">
        <color rgb="FFD8D5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EFF9"/>
      <rgbColor rgb="FFE1F5EE"/>
      <rgbColor rgb="FF660066"/>
      <rgbColor rgb="FFFF8080"/>
      <rgbColor rgb="FF0066CC"/>
      <rgbColor rgb="FFD8D5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34AB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6.25" hidden="false" customHeight="false" outlineLevel="0" collapsed="false">
      <c r="A5" s="4" t="n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6" t="n">
        <v>1</v>
      </c>
      <c r="I5" s="7" t="n">
        <v>55</v>
      </c>
      <c r="J5" s="8" t="n">
        <f aca="false">H5*I5</f>
        <v>55</v>
      </c>
      <c r="K5" s="5" t="s">
        <v>20</v>
      </c>
    </row>
    <row r="6" customFormat="false" ht="35.05" hidden="false" customHeight="false" outlineLevel="0" collapsed="false">
      <c r="A6" s="9" t="n">
        <v>2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1" t="n">
        <v>1</v>
      </c>
      <c r="I6" s="12" t="n">
        <v>2.4</v>
      </c>
      <c r="J6" s="13" t="n">
        <f aca="false">H6*I6</f>
        <v>2.4</v>
      </c>
      <c r="K6" s="10" t="s">
        <v>27</v>
      </c>
    </row>
    <row r="7" customFormat="false" ht="35.05" hidden="false" customHeight="false" outlineLevel="0" collapsed="false">
      <c r="A7" s="4" t="n">
        <v>3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25</v>
      </c>
      <c r="G7" s="5" t="s">
        <v>32</v>
      </c>
      <c r="H7" s="6" t="n">
        <v>1</v>
      </c>
      <c r="I7" s="7" t="n">
        <v>3.73</v>
      </c>
      <c r="J7" s="8" t="n">
        <f aca="false">H7*I7</f>
        <v>3.73</v>
      </c>
      <c r="K7" s="5" t="s">
        <v>33</v>
      </c>
    </row>
    <row r="8" customFormat="false" ht="35.05" hidden="false" customHeight="false" outlineLevel="0" collapsed="false">
      <c r="A8" s="9" t="n">
        <v>4</v>
      </c>
      <c r="B8" s="10" t="s">
        <v>34</v>
      </c>
      <c r="C8" s="10" t="s">
        <v>35</v>
      </c>
      <c r="D8" s="10" t="s">
        <v>36</v>
      </c>
      <c r="E8" s="10" t="s">
        <v>37</v>
      </c>
      <c r="F8" s="10" t="s">
        <v>25</v>
      </c>
      <c r="G8" s="10" t="s">
        <v>38</v>
      </c>
      <c r="H8" s="11" t="n">
        <v>1</v>
      </c>
      <c r="I8" s="12" t="n">
        <v>3.5</v>
      </c>
      <c r="J8" s="13" t="n">
        <f aca="false">H8*I8</f>
        <v>3.5</v>
      </c>
      <c r="K8" s="10" t="s">
        <v>39</v>
      </c>
    </row>
    <row r="9" customFormat="false" ht="23.85" hidden="false" customHeight="false" outlineLevel="0" collapsed="false">
      <c r="A9" s="4" t="n">
        <v>5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25</v>
      </c>
      <c r="G9" s="5" t="s">
        <v>44</v>
      </c>
      <c r="H9" s="6" t="n">
        <v>1</v>
      </c>
      <c r="I9" s="7" t="n">
        <v>1.9</v>
      </c>
      <c r="J9" s="8" t="n">
        <f aca="false">H9*I9</f>
        <v>1.9</v>
      </c>
      <c r="K9" s="5" t="s">
        <v>45</v>
      </c>
    </row>
    <row r="10" customFormat="false" ht="35.05" hidden="false" customHeight="false" outlineLevel="0" collapsed="false">
      <c r="A10" s="9" t="n">
        <v>6</v>
      </c>
      <c r="B10" s="10" t="s">
        <v>46</v>
      </c>
      <c r="C10" s="10" t="s">
        <v>47</v>
      </c>
      <c r="D10" s="10" t="s">
        <v>48</v>
      </c>
      <c r="E10" s="10" t="s">
        <v>49</v>
      </c>
      <c r="F10" s="10" t="s">
        <v>25</v>
      </c>
      <c r="G10" s="10" t="s">
        <v>50</v>
      </c>
      <c r="H10" s="11" t="n">
        <v>1</v>
      </c>
      <c r="I10" s="12" t="n">
        <v>6.87</v>
      </c>
      <c r="J10" s="13" t="n">
        <f aca="false">H10*I10</f>
        <v>6.87</v>
      </c>
      <c r="K10" s="10" t="s">
        <v>51</v>
      </c>
    </row>
    <row r="11" customFormat="false" ht="23.85" hidden="false" customHeight="false" outlineLevel="0" collapsed="false">
      <c r="A11" s="4" t="n">
        <v>7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6" t="n">
        <v>1</v>
      </c>
      <c r="I11" s="7" t="n">
        <v>0.45</v>
      </c>
      <c r="J11" s="8" t="n">
        <f aca="false">H11*I11</f>
        <v>0.45</v>
      </c>
      <c r="K11" s="5" t="s">
        <v>58</v>
      </c>
    </row>
    <row r="12" customFormat="false" ht="23.85" hidden="false" customHeight="false" outlineLevel="0" collapsed="false">
      <c r="A12" s="9" t="n">
        <v>8</v>
      </c>
      <c r="B12" s="10" t="s">
        <v>59</v>
      </c>
      <c r="C12" s="10" t="s">
        <v>60</v>
      </c>
      <c r="D12" s="10" t="s">
        <v>61</v>
      </c>
      <c r="E12" s="10" t="s">
        <v>62</v>
      </c>
      <c r="F12" s="10" t="s">
        <v>25</v>
      </c>
      <c r="G12" s="10" t="s">
        <v>63</v>
      </c>
      <c r="H12" s="11" t="n">
        <v>1</v>
      </c>
      <c r="I12" s="12" t="n">
        <v>0.35</v>
      </c>
      <c r="J12" s="13" t="n">
        <f aca="false">H12*I12</f>
        <v>0.35</v>
      </c>
      <c r="K12" s="10" t="s">
        <v>64</v>
      </c>
    </row>
    <row r="13" customFormat="false" ht="35.05" hidden="false" customHeight="false" outlineLevel="0" collapsed="false">
      <c r="A13" s="4" t="n">
        <v>9</v>
      </c>
      <c r="B13" s="5" t="s">
        <v>65</v>
      </c>
      <c r="C13" s="5" t="s">
        <v>66</v>
      </c>
      <c r="D13" s="5" t="s">
        <v>67</v>
      </c>
      <c r="E13" s="5" t="s">
        <v>68</v>
      </c>
      <c r="F13" s="5" t="s">
        <v>69</v>
      </c>
      <c r="G13" s="5" t="s">
        <v>70</v>
      </c>
      <c r="H13" s="6" t="n">
        <v>1</v>
      </c>
      <c r="I13" s="7" t="n">
        <v>7.95</v>
      </c>
      <c r="J13" s="8" t="n">
        <f aca="false">H13*I13</f>
        <v>7.95</v>
      </c>
      <c r="K13" s="5" t="s">
        <v>71</v>
      </c>
    </row>
    <row r="14" customFormat="false" ht="35.05" hidden="false" customHeight="false" outlineLevel="0" collapsed="false">
      <c r="A14" s="9" t="n">
        <v>10</v>
      </c>
      <c r="B14" s="10" t="s">
        <v>72</v>
      </c>
      <c r="C14" s="10" t="s">
        <v>73</v>
      </c>
      <c r="D14" s="10" t="s">
        <v>74</v>
      </c>
      <c r="E14" s="10" t="s">
        <v>75</v>
      </c>
      <c r="F14" s="10" t="s">
        <v>25</v>
      </c>
      <c r="G14" s="10" t="s">
        <v>76</v>
      </c>
      <c r="H14" s="11" t="n">
        <v>1</v>
      </c>
      <c r="I14" s="12" t="n">
        <v>0.76</v>
      </c>
      <c r="J14" s="13" t="n">
        <f aca="false">H14*I14</f>
        <v>0.76</v>
      </c>
      <c r="K14" s="10" t="s">
        <v>77</v>
      </c>
    </row>
    <row r="15" customFormat="false" ht="23.85" hidden="false" customHeight="false" outlineLevel="0" collapsed="false">
      <c r="A15" s="4" t="n">
        <v>11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25</v>
      </c>
      <c r="G15" s="5" t="s">
        <v>82</v>
      </c>
      <c r="H15" s="6" t="n">
        <v>1</v>
      </c>
      <c r="I15" s="7" t="n">
        <v>0.91</v>
      </c>
      <c r="J15" s="8" t="n">
        <f aca="false">H15*I15</f>
        <v>0.91</v>
      </c>
      <c r="K15" s="5" t="s">
        <v>83</v>
      </c>
    </row>
    <row r="16" customFormat="false" ht="23.85" hidden="false" customHeight="false" outlineLevel="0" collapsed="false">
      <c r="A16" s="9" t="n">
        <v>12</v>
      </c>
      <c r="B16" s="10" t="s">
        <v>84</v>
      </c>
      <c r="C16" s="10" t="s">
        <v>85</v>
      </c>
      <c r="D16" s="10" t="s">
        <v>86</v>
      </c>
      <c r="E16" s="10" t="s">
        <v>87</v>
      </c>
      <c r="F16" s="10" t="s">
        <v>25</v>
      </c>
      <c r="G16" s="10" t="s">
        <v>88</v>
      </c>
      <c r="H16" s="11" t="n">
        <v>1</v>
      </c>
      <c r="I16" s="12" t="n">
        <v>4.5</v>
      </c>
      <c r="J16" s="13" t="n">
        <f aca="false">H16*I16</f>
        <v>4.5</v>
      </c>
      <c r="K16" s="10" t="s">
        <v>89</v>
      </c>
    </row>
    <row r="17" customFormat="false" ht="23.85" hidden="false" customHeight="false" outlineLevel="0" collapsed="false">
      <c r="A17" s="4" t="n">
        <v>13</v>
      </c>
      <c r="B17" s="5" t="s">
        <v>90</v>
      </c>
      <c r="C17" s="5" t="s">
        <v>91</v>
      </c>
      <c r="D17" s="5" t="s">
        <v>92</v>
      </c>
      <c r="E17" s="5" t="s">
        <v>93</v>
      </c>
      <c r="F17" s="5" t="s">
        <v>25</v>
      </c>
      <c r="G17" s="5" t="s">
        <v>94</v>
      </c>
      <c r="H17" s="6" t="n">
        <v>1</v>
      </c>
      <c r="I17" s="7" t="n">
        <v>2.5</v>
      </c>
      <c r="J17" s="8" t="n">
        <f aca="false">H17*I17</f>
        <v>2.5</v>
      </c>
      <c r="K17" s="5" t="s">
        <v>95</v>
      </c>
    </row>
    <row r="18" customFormat="false" ht="15" hidden="false" customHeight="false" outlineLevel="0" collapsed="false">
      <c r="A18" s="9" t="n">
        <v>14</v>
      </c>
      <c r="B18" s="10" t="s">
        <v>96</v>
      </c>
      <c r="C18" s="10" t="s">
        <v>97</v>
      </c>
      <c r="D18" s="10" t="s">
        <v>98</v>
      </c>
      <c r="E18" s="10" t="s">
        <v>99</v>
      </c>
      <c r="F18" s="10" t="s">
        <v>25</v>
      </c>
      <c r="G18" s="10" t="s">
        <v>100</v>
      </c>
      <c r="H18" s="11" t="n">
        <v>1</v>
      </c>
      <c r="I18" s="12" t="n">
        <v>0.15</v>
      </c>
      <c r="J18" s="13" t="n">
        <f aca="false">H18*I18</f>
        <v>0.15</v>
      </c>
      <c r="K18" s="10" t="s">
        <v>101</v>
      </c>
    </row>
    <row r="19" customFormat="false" ht="23.85" hidden="false" customHeight="false" outlineLevel="0" collapsed="false">
      <c r="A19" s="4" t="n">
        <v>15</v>
      </c>
      <c r="B19" s="5" t="s">
        <v>102</v>
      </c>
      <c r="C19" s="5" t="s">
        <v>103</v>
      </c>
      <c r="D19" s="5" t="s">
        <v>104</v>
      </c>
      <c r="E19" s="5" t="s">
        <v>105</v>
      </c>
      <c r="F19" s="5" t="s">
        <v>25</v>
      </c>
      <c r="G19" s="5" t="s">
        <v>106</v>
      </c>
      <c r="H19" s="6" t="n">
        <v>1</v>
      </c>
      <c r="I19" s="7" t="n">
        <v>3</v>
      </c>
      <c r="J19" s="8" t="n">
        <f aca="false">H19*I19</f>
        <v>3</v>
      </c>
      <c r="K19" s="5" t="s">
        <v>107</v>
      </c>
    </row>
    <row r="20" customFormat="false" ht="15" hidden="false" customHeight="false" outlineLevel="0" collapsed="false">
      <c r="A20" s="9" t="n">
        <v>16</v>
      </c>
      <c r="B20" s="10" t="s">
        <v>108</v>
      </c>
      <c r="C20" s="10" t="s">
        <v>109</v>
      </c>
      <c r="D20" s="10" t="s">
        <v>110</v>
      </c>
      <c r="E20" s="10" t="s">
        <v>111</v>
      </c>
      <c r="F20" s="10" t="s">
        <v>25</v>
      </c>
      <c r="G20" s="10" t="s">
        <v>112</v>
      </c>
      <c r="H20" s="11" t="n">
        <v>1</v>
      </c>
      <c r="I20" s="12" t="n">
        <v>4</v>
      </c>
      <c r="J20" s="13" t="n">
        <f aca="false">H20*I20</f>
        <v>4</v>
      </c>
      <c r="K20" s="10" t="s">
        <v>113</v>
      </c>
    </row>
    <row r="21" customFormat="false" ht="15" hidden="false" customHeight="false" outlineLevel="0" collapsed="false">
      <c r="I21" s="14" t="s">
        <v>114</v>
      </c>
      <c r="J21" s="15" t="n">
        <f aca="false">SUM(J5:J20)</f>
        <v>97.97</v>
      </c>
    </row>
    <row r="22" customFormat="false" ht="15" hidden="false" customHeight="false" outlineLevel="0" collapsed="false">
      <c r="A22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24" hidden="false" customHeight="true" outlineLevel="0" collapsed="false">
      <c r="A4" s="3" t="s">
        <v>118</v>
      </c>
      <c r="B4" s="3" t="s">
        <v>119</v>
      </c>
      <c r="C4" s="3" t="s">
        <v>9</v>
      </c>
      <c r="D4" s="3" t="s">
        <v>120</v>
      </c>
      <c r="E4" s="3" t="s">
        <v>121</v>
      </c>
      <c r="F4" s="3" t="s">
        <v>122</v>
      </c>
    </row>
    <row r="5" customFormat="false" ht="15" hidden="false" customHeight="false" outlineLevel="0" collapsed="false">
      <c r="A5" s="5" t="s">
        <v>123</v>
      </c>
      <c r="B5" s="5" t="s">
        <v>124</v>
      </c>
      <c r="C5" s="6" t="n">
        <v>1</v>
      </c>
      <c r="D5" s="16" t="n">
        <v>120</v>
      </c>
      <c r="E5" s="16" t="n">
        <v>360</v>
      </c>
      <c r="F5" s="4" t="s">
        <v>125</v>
      </c>
    </row>
    <row r="6" customFormat="false" ht="15" hidden="false" customHeight="false" outlineLevel="0" collapsed="false">
      <c r="A6" s="10" t="s">
        <v>126</v>
      </c>
      <c r="B6" s="10" t="s">
        <v>127</v>
      </c>
      <c r="C6" s="11" t="n">
        <v>3</v>
      </c>
      <c r="D6" s="17" t="n">
        <v>165</v>
      </c>
      <c r="E6" s="17" t="n">
        <v>165</v>
      </c>
      <c r="F6" s="9" t="s">
        <v>125</v>
      </c>
    </row>
    <row r="7" customFormat="false" ht="15" hidden="false" customHeight="false" outlineLevel="0" collapsed="false">
      <c r="A7" s="5" t="s">
        <v>128</v>
      </c>
      <c r="B7" s="5" t="s">
        <v>129</v>
      </c>
      <c r="C7" s="6" t="n">
        <v>5</v>
      </c>
      <c r="D7" s="16" t="n">
        <v>80</v>
      </c>
      <c r="E7" s="16" t="n">
        <v>140</v>
      </c>
      <c r="F7" s="4" t="s">
        <v>130</v>
      </c>
    </row>
    <row r="8" customFormat="false" ht="15" hidden="false" customHeight="false" outlineLevel="0" collapsed="false">
      <c r="A8" s="10" t="s">
        <v>131</v>
      </c>
      <c r="B8" s="10" t="s">
        <v>132</v>
      </c>
      <c r="C8" s="11" t="n">
        <v>1</v>
      </c>
      <c r="D8" s="17" t="n">
        <v>40</v>
      </c>
      <c r="E8" s="17" t="n">
        <v>80</v>
      </c>
      <c r="F8" s="9" t="s">
        <v>133</v>
      </c>
    </row>
    <row r="9" customFormat="false" ht="15" hidden="false" customHeight="false" outlineLevel="0" collapsed="false">
      <c r="A9" s="5" t="s">
        <v>134</v>
      </c>
      <c r="B9" s="5" t="s">
        <v>135</v>
      </c>
      <c r="C9" s="6" t="n">
        <v>1</v>
      </c>
      <c r="D9" s="16" t="n">
        <v>10</v>
      </c>
      <c r="E9" s="16" t="n">
        <v>30</v>
      </c>
      <c r="F9" s="4" t="s">
        <v>125</v>
      </c>
    </row>
    <row r="10" customFormat="false" ht="15" hidden="false" customHeight="false" outlineLevel="0" collapsed="false">
      <c r="A10" s="10" t="s">
        <v>136</v>
      </c>
      <c r="B10" s="10" t="s">
        <v>137</v>
      </c>
      <c r="C10" s="11" t="n">
        <v>1</v>
      </c>
      <c r="D10" s="17" t="n">
        <v>20</v>
      </c>
      <c r="E10" s="17" t="n">
        <v>60</v>
      </c>
      <c r="F10" s="9" t="s">
        <v>138</v>
      </c>
    </row>
    <row r="11" customFormat="false" ht="15" hidden="false" customHeight="false" outlineLevel="0" collapsed="false">
      <c r="A11" s="5" t="s">
        <v>139</v>
      </c>
      <c r="B11" s="5" t="s">
        <v>140</v>
      </c>
      <c r="C11" s="6" t="n">
        <v>1</v>
      </c>
      <c r="D11" s="16" t="n">
        <v>0</v>
      </c>
      <c r="E11" s="16" t="n">
        <v>15</v>
      </c>
      <c r="F11" s="4" t="s">
        <v>141</v>
      </c>
    </row>
    <row r="12" customFormat="false" ht="15" hidden="false" customHeight="false" outlineLevel="0" collapsed="false">
      <c r="A12" s="18" t="s">
        <v>142</v>
      </c>
      <c r="B12" s="19"/>
      <c r="C12" s="19"/>
      <c r="D12" s="20" t="n">
        <f aca="false">SUM(D5:D11)</f>
        <v>435</v>
      </c>
      <c r="E12" s="20" t="n">
        <f aca="false">SUM(E5:E11)</f>
        <v>850</v>
      </c>
      <c r="F1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2026-06-29T00:44:25Z</dcterms:created>
  <dc:creator>openpyxl</dc:creator>
  <dc:description/>
  <dc:language>en-US</dc:language>
  <cp:lastModifiedBy/>
  <dcterms:modified xsi:type="dcterms:W3CDTF">2026-06-29T00:44:25Z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